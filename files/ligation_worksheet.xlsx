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5480" windowHeight="9120" activeTab="1"/>
  </bookViews>
  <sheets>
    <sheet name="Concentration converter" sheetId="28" r:id="rId1"/>
    <sheet name="Linear ligation" sheetId="27" r:id="rId2"/>
    <sheet name="Circular ligation" sheetId="29" r:id="rId3"/>
  </sheets>
  <definedNames>
    <definedName name="_xlnm.Print_Area" localSheetId="2">'Circular ligation'!$A$1:$L$35</definedName>
    <definedName name="_xlnm.Print_Area" localSheetId="0">'Concentration converter'!$A$1:$I$24</definedName>
    <definedName name="_xlnm.Print_Area" localSheetId="1">'Linear ligation'!$A$1:$L$79</definedName>
  </definedNames>
  <calcPr calcId="125725"/>
</workbook>
</file>

<file path=xl/calcChain.xml><?xml version="1.0" encoding="utf-8"?>
<calcChain xmlns="http://schemas.openxmlformats.org/spreadsheetml/2006/main">
  <c r="L78" i="27"/>
  <c r="L76"/>
  <c r="L75"/>
  <c r="L74"/>
  <c r="L73"/>
  <c r="L77" s="1"/>
  <c r="L59"/>
  <c r="L57"/>
  <c r="L56"/>
  <c r="L55"/>
  <c r="L54"/>
  <c r="L58" s="1"/>
  <c r="L40"/>
  <c r="L38"/>
  <c r="L37"/>
  <c r="L36"/>
  <c r="L35"/>
  <c r="L39" s="1"/>
  <c r="L20"/>
  <c r="L19"/>
  <c r="L18"/>
  <c r="L32" i="29"/>
  <c r="L24"/>
  <c r="L16"/>
  <c r="J31"/>
  <c r="J30"/>
  <c r="J23"/>
  <c r="J22"/>
  <c r="J15"/>
  <c r="J14"/>
  <c r="L9" i="27"/>
  <c r="L8" i="29"/>
  <c r="J75" i="27"/>
  <c r="J74"/>
  <c r="J73"/>
  <c r="L66"/>
  <c r="J65"/>
  <c r="J64"/>
  <c r="J56"/>
  <c r="J55"/>
  <c r="J54"/>
  <c r="L47"/>
  <c r="J46"/>
  <c r="J45"/>
  <c r="J37"/>
  <c r="J36"/>
  <c r="J35"/>
  <c r="L28"/>
  <c r="J27" l="1"/>
  <c r="J26"/>
  <c r="J16"/>
  <c r="J17"/>
  <c r="J18"/>
  <c r="L34" i="29"/>
  <c r="L26"/>
  <c r="L18"/>
  <c r="L10" l="1"/>
  <c r="E32"/>
  <c r="H31"/>
  <c r="I31" s="1"/>
  <c r="L31" s="1"/>
  <c r="G31"/>
  <c r="I30"/>
  <c r="L30" s="1"/>
  <c r="G30"/>
  <c r="E24"/>
  <c r="H23"/>
  <c r="I23" s="1"/>
  <c r="L23" s="1"/>
  <c r="G23"/>
  <c r="I22"/>
  <c r="L22" s="1"/>
  <c r="L25" s="1"/>
  <c r="G22"/>
  <c r="E16"/>
  <c r="H15"/>
  <c r="G15"/>
  <c r="I14"/>
  <c r="L14" s="1"/>
  <c r="G14"/>
  <c r="E8"/>
  <c r="J7"/>
  <c r="H7"/>
  <c r="I7" s="1"/>
  <c r="L7" s="1"/>
  <c r="G7"/>
  <c r="J6"/>
  <c r="I6"/>
  <c r="L6" s="1"/>
  <c r="G6"/>
  <c r="L9" l="1"/>
  <c r="I15"/>
  <c r="L15" s="1"/>
  <c r="L17" s="1"/>
  <c r="L33"/>
  <c r="L68" i="27"/>
  <c r="L65"/>
  <c r="L64"/>
  <c r="L67" s="1"/>
  <c r="L49"/>
  <c r="L46"/>
  <c r="L48" s="1"/>
  <c r="L45"/>
  <c r="L30"/>
  <c r="L27"/>
  <c r="L26"/>
  <c r="L29" s="1"/>
  <c r="L21"/>
  <c r="L11"/>
  <c r="G8" l="1"/>
  <c r="G7"/>
  <c r="I7" i="28"/>
  <c r="E7"/>
  <c r="E13"/>
  <c r="I13" s="1"/>
  <c r="E11"/>
  <c r="I11" s="1"/>
  <c r="E9"/>
  <c r="I9" s="1"/>
  <c r="E24"/>
  <c r="I24" s="1"/>
  <c r="E22"/>
  <c r="I22" s="1"/>
  <c r="I20"/>
  <c r="E20"/>
  <c r="E18"/>
  <c r="I18" s="1"/>
  <c r="E76" i="27"/>
  <c r="F75"/>
  <c r="I75" s="1"/>
  <c r="I74"/>
  <c r="F74"/>
  <c r="F73"/>
  <c r="I73" s="1"/>
  <c r="E66"/>
  <c r="F65"/>
  <c r="I65" s="1"/>
  <c r="F64"/>
  <c r="I64" s="1"/>
  <c r="E57"/>
  <c r="I56"/>
  <c r="F56"/>
  <c r="F55"/>
  <c r="I55" s="1"/>
  <c r="I54"/>
  <c r="F54"/>
  <c r="E47"/>
  <c r="F46"/>
  <c r="I46" s="1"/>
  <c r="F45"/>
  <c r="I45" s="1"/>
  <c r="E38"/>
  <c r="F37"/>
  <c r="I37" s="1"/>
  <c r="F36"/>
  <c r="I36" s="1"/>
  <c r="F35"/>
  <c r="I35" s="1"/>
  <c r="E28"/>
  <c r="F27"/>
  <c r="I27" s="1"/>
  <c r="F26"/>
  <c r="I26" s="1"/>
  <c r="E9"/>
  <c r="J8"/>
  <c r="F8"/>
  <c r="I8" s="1"/>
  <c r="L8" s="1"/>
  <c r="J7"/>
  <c r="F7"/>
  <c r="I7" s="1"/>
  <c r="L7" s="1"/>
  <c r="F18"/>
  <c r="F17"/>
  <c r="F16"/>
  <c r="I18"/>
  <c r="I17"/>
  <c r="L17" s="1"/>
  <c r="I16"/>
  <c r="L16" s="1"/>
  <c r="E19"/>
  <c r="L10" l="1"/>
</calcChain>
</file>

<file path=xl/sharedStrings.xml><?xml version="1.0" encoding="utf-8"?>
<sst xmlns="http://schemas.openxmlformats.org/spreadsheetml/2006/main" count="216" uniqueCount="38">
  <si>
    <t>Insert</t>
  </si>
  <si>
    <t>Vector</t>
  </si>
  <si>
    <t>DNA species</t>
  </si>
  <si>
    <t>e.g.</t>
  </si>
  <si>
    <t>Ligase</t>
  </si>
  <si>
    <t>Circular ligation worksheet</t>
  </si>
  <si>
    <t>Total</t>
  </si>
  <si>
    <t>Mass (ng)</t>
  </si>
  <si>
    <t>Available conc (ng/ul)</t>
  </si>
  <si>
    <t>Size (bp)</t>
  </si>
  <si>
    <t>Molar ratio</t>
  </si>
  <si>
    <t>MW (g/mol)</t>
  </si>
  <si>
    <t>Ligation reaction</t>
  </si>
  <si>
    <t>Linear ligation worksheet</t>
  </si>
  <si>
    <t>Input in the highlighted cells only. If more calculations are needed, copy and paste contents inside the thick border.</t>
  </si>
  <si>
    <t>2-piece linear ligation</t>
  </si>
  <si>
    <t>3-piece linear ligation</t>
  </si>
  <si>
    <t>1a</t>
  </si>
  <si>
    <t>1b</t>
  </si>
  <si>
    <t>2a</t>
  </si>
  <si>
    <t>2b</t>
  </si>
  <si>
    <t>3a</t>
  </si>
  <si>
    <t>3b</t>
  </si>
  <si>
    <t>Concentration converter worksheet</t>
  </si>
  <si>
    <t>Concentration (ng/ul)</t>
  </si>
  <si>
    <t>Volume used (ul)</t>
  </si>
  <si>
    <t>Total volume of reaction (ul)</t>
  </si>
  <si>
    <t>example</t>
  </si>
  <si>
    <t>From ng/ul to nM (for stock solution)</t>
  </si>
  <si>
    <t>From ng/ul to nM (in a reaction)</t>
  </si>
  <si>
    <t>Target conc in final ligation mix (nM)</t>
  </si>
  <si>
    <t>Stock conc (nM)</t>
  </si>
  <si>
    <t>Stock conc (ng/ul)</t>
  </si>
  <si>
    <t>Stock vol (ul)</t>
  </si>
  <si>
    <r>
      <t>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</si>
  <si>
    <t>Concentration (nM)</t>
  </si>
  <si>
    <t>Volume (ul)</t>
  </si>
  <si>
    <t>x Buffer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</si>
</sst>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vertAlign val="sub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/>
    <xf numFmtId="0" fontId="1" fillId="2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4" fontId="1" fillId="0" borderId="0" xfId="0" applyNumberFormat="1" applyFont="1" applyFill="1" applyBorder="1" applyAlignment="1">
      <alignment horizontal="center"/>
    </xf>
    <xf numFmtId="0" fontId="1" fillId="0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164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Fill="1" applyBorder="1"/>
    <xf numFmtId="2" fontId="2" fillId="2" borderId="10" xfId="0" applyNumberFormat="1" applyFont="1" applyFill="1" applyBorder="1" applyAlignment="1">
      <alignment horizontal="center"/>
    </xf>
    <xf numFmtId="0" fontId="4" fillId="0" borderId="0" xfId="0" applyFont="1"/>
    <xf numFmtId="0" fontId="1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3" fontId="1" fillId="0" borderId="0" xfId="0" applyNumberFormat="1" applyFont="1" applyFill="1" applyBorder="1" applyAlignment="1">
      <alignment horizontal="center"/>
    </xf>
    <xf numFmtId="0" fontId="2" fillId="0" borderId="0" xfId="0" applyFont="1" applyFill="1"/>
    <xf numFmtId="0" fontId="1" fillId="0" borderId="0" xfId="0" applyFont="1" applyFill="1" applyAlignment="1">
      <alignment horizontal="center"/>
    </xf>
    <xf numFmtId="0" fontId="3" fillId="0" borderId="2" xfId="0" applyFont="1" applyBorder="1"/>
    <xf numFmtId="0" fontId="0" fillId="0" borderId="3" xfId="0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2" fillId="0" borderId="6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0" fontId="1" fillId="0" borderId="5" xfId="0" applyFont="1" applyBorder="1"/>
    <xf numFmtId="0" fontId="0" fillId="0" borderId="6" xfId="0" applyBorder="1"/>
    <xf numFmtId="0" fontId="2" fillId="0" borderId="7" xfId="0" applyFont="1" applyFill="1" applyBorder="1" applyAlignment="1">
      <alignment horizontal="center"/>
    </xf>
    <xf numFmtId="0" fontId="1" fillId="2" borderId="13" xfId="0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1" fillId="0" borderId="8" xfId="0" applyNumberFormat="1" applyFont="1" applyFill="1" applyBorder="1" applyAlignment="1">
      <alignment horizontal="center"/>
    </xf>
    <xf numFmtId="0" fontId="0" fillId="0" borderId="8" xfId="0" applyBorder="1"/>
    <xf numFmtId="2" fontId="6" fillId="0" borderId="1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2" fontId="6" fillId="0" borderId="11" xfId="0" applyNumberFormat="1" applyFont="1" applyFill="1" applyBorder="1" applyAlignment="1">
      <alignment horizontal="center"/>
    </xf>
    <xf numFmtId="2" fontId="6" fillId="0" borderId="6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1" fillId="0" borderId="0" xfId="0" applyFont="1" applyBorder="1" applyAlignment="1">
      <alignment horizontal="left"/>
    </xf>
    <xf numFmtId="165" fontId="1" fillId="0" borderId="0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C5D9F1"/>
      <color rgb="FFC5FF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zoomScaleNormal="100" workbookViewId="0"/>
  </sheetViews>
  <sheetFormatPr defaultRowHeight="12.75"/>
  <cols>
    <col min="1" max="1" width="5.42578125" customWidth="1"/>
    <col min="2" max="2" width="12.140625" bestFit="1" customWidth="1"/>
    <col min="3" max="3" width="20.28515625" bestFit="1" customWidth="1"/>
    <col min="4" max="4" width="9" bestFit="1" customWidth="1"/>
    <col min="5" max="5" width="11.28515625" bestFit="1" customWidth="1"/>
    <col min="6" max="6" width="16.42578125" bestFit="1" customWidth="1"/>
    <col min="7" max="7" width="27.140625" bestFit="1" customWidth="1"/>
    <col min="8" max="8" width="2.5703125" customWidth="1"/>
    <col min="9" max="9" width="19.5703125" bestFit="1" customWidth="1"/>
  </cols>
  <sheetData>
    <row r="1" spans="1:9" ht="20.25">
      <c r="A1" s="34" t="s">
        <v>23</v>
      </c>
      <c r="C1" s="11"/>
    </row>
    <row r="2" spans="1:9">
      <c r="A2" s="1"/>
      <c r="C2" s="11"/>
    </row>
    <row r="3" spans="1:9">
      <c r="A3" s="2" t="s">
        <v>14</v>
      </c>
      <c r="C3" s="11"/>
    </row>
    <row r="4" spans="1:9" ht="13.5" thickBot="1">
      <c r="A4" s="2"/>
      <c r="C4" s="11"/>
    </row>
    <row r="5" spans="1:9">
      <c r="A5" s="41" t="s">
        <v>28</v>
      </c>
      <c r="B5" s="42"/>
      <c r="C5" s="43"/>
      <c r="D5" s="42"/>
      <c r="E5" s="42"/>
      <c r="F5" s="42"/>
      <c r="G5" s="42"/>
      <c r="H5" s="42"/>
      <c r="I5" s="44"/>
    </row>
    <row r="6" spans="1:9">
      <c r="A6" s="45"/>
      <c r="B6" s="18" t="s">
        <v>2</v>
      </c>
      <c r="C6" s="18" t="s">
        <v>24</v>
      </c>
      <c r="D6" s="18" t="s">
        <v>9</v>
      </c>
      <c r="E6" s="4" t="s">
        <v>11</v>
      </c>
      <c r="F6" s="46"/>
      <c r="G6" s="46"/>
      <c r="H6" s="46"/>
      <c r="I6" s="47" t="s">
        <v>35</v>
      </c>
    </row>
    <row r="7" spans="1:9">
      <c r="A7" s="48" t="s">
        <v>3</v>
      </c>
      <c r="B7" s="8" t="s">
        <v>27</v>
      </c>
      <c r="C7" s="24">
        <v>50</v>
      </c>
      <c r="D7" s="7">
        <v>850</v>
      </c>
      <c r="E7" s="38">
        <f>D7*607.4+157.9</f>
        <v>516447.9</v>
      </c>
      <c r="F7" s="46"/>
      <c r="G7" s="46"/>
      <c r="H7" s="46"/>
      <c r="I7" s="49">
        <f>(C7*0.001)/E7*1000000000</f>
        <v>96.815186972393548</v>
      </c>
    </row>
    <row r="8" spans="1:9">
      <c r="A8" s="50"/>
      <c r="B8" s="46"/>
      <c r="C8" s="8"/>
      <c r="D8" s="46"/>
      <c r="E8" s="46"/>
      <c r="F8" s="46"/>
      <c r="G8" s="46"/>
      <c r="H8" s="46"/>
      <c r="I8" s="51"/>
    </row>
    <row r="9" spans="1:9">
      <c r="A9" s="48">
        <v>1</v>
      </c>
      <c r="B9" s="8" t="s">
        <v>27</v>
      </c>
      <c r="C9" s="24"/>
      <c r="D9" s="7"/>
      <c r="E9" s="38">
        <f>D9*607.4+157.9</f>
        <v>157.9</v>
      </c>
      <c r="F9" s="46"/>
      <c r="G9" s="46"/>
      <c r="H9" s="46"/>
      <c r="I9" s="49">
        <f>(C9*0.001)/E9*1000000000</f>
        <v>0</v>
      </c>
    </row>
    <row r="10" spans="1:9">
      <c r="A10" s="50"/>
      <c r="B10" s="46"/>
      <c r="C10" s="8"/>
      <c r="D10" s="46"/>
      <c r="E10" s="46"/>
      <c r="F10" s="46"/>
      <c r="G10" s="46"/>
      <c r="H10" s="46"/>
      <c r="I10" s="51"/>
    </row>
    <row r="11" spans="1:9">
      <c r="A11" s="48">
        <v>2</v>
      </c>
      <c r="B11" s="8" t="s">
        <v>27</v>
      </c>
      <c r="C11" s="24"/>
      <c r="D11" s="7"/>
      <c r="E11" s="38">
        <f>D11*607.4+157.9</f>
        <v>157.9</v>
      </c>
      <c r="F11" s="46"/>
      <c r="G11" s="46"/>
      <c r="H11" s="46"/>
      <c r="I11" s="49">
        <f>(C11*0.001)/E11*1000000000</f>
        <v>0</v>
      </c>
    </row>
    <row r="12" spans="1:9">
      <c r="A12" s="50"/>
      <c r="B12" s="46"/>
      <c r="C12" s="8"/>
      <c r="D12" s="46"/>
      <c r="E12" s="46"/>
      <c r="F12" s="46"/>
      <c r="G12" s="46"/>
      <c r="H12" s="46"/>
      <c r="I12" s="51"/>
    </row>
    <row r="13" spans="1:9" ht="13.5" thickBot="1">
      <c r="A13" s="52">
        <v>3</v>
      </c>
      <c r="B13" s="35" t="s">
        <v>27</v>
      </c>
      <c r="C13" s="53"/>
      <c r="D13" s="54"/>
      <c r="E13" s="55">
        <f>D13*607.4+157.9</f>
        <v>157.9</v>
      </c>
      <c r="F13" s="56"/>
      <c r="G13" s="56"/>
      <c r="H13" s="56"/>
      <c r="I13" s="57">
        <f>(C13*0.001)/E13*1000000000</f>
        <v>0</v>
      </c>
    </row>
    <row r="14" spans="1:9">
      <c r="A14" s="2"/>
      <c r="C14" s="11"/>
    </row>
    <row r="15" spans="1:9" ht="13.5" thickBot="1">
      <c r="A15" s="2"/>
      <c r="C15" s="11"/>
    </row>
    <row r="16" spans="1:9">
      <c r="A16" s="41" t="s">
        <v>29</v>
      </c>
      <c r="B16" s="42"/>
      <c r="C16" s="43"/>
      <c r="D16" s="42"/>
      <c r="E16" s="42"/>
      <c r="F16" s="42"/>
      <c r="G16" s="42"/>
      <c r="H16" s="42"/>
      <c r="I16" s="44"/>
    </row>
    <row r="17" spans="1:9">
      <c r="A17" s="45"/>
      <c r="B17" s="18" t="s">
        <v>2</v>
      </c>
      <c r="C17" s="18" t="s">
        <v>24</v>
      </c>
      <c r="D17" s="18" t="s">
        <v>9</v>
      </c>
      <c r="E17" s="4" t="s">
        <v>11</v>
      </c>
      <c r="F17" s="4" t="s">
        <v>25</v>
      </c>
      <c r="G17" s="4" t="s">
        <v>26</v>
      </c>
      <c r="H17" s="46"/>
      <c r="I17" s="47" t="s">
        <v>35</v>
      </c>
    </row>
    <row r="18" spans="1:9">
      <c r="A18" s="48" t="s">
        <v>3</v>
      </c>
      <c r="B18" s="8" t="s">
        <v>27</v>
      </c>
      <c r="C18" s="24">
        <v>50</v>
      </c>
      <c r="D18" s="7">
        <v>240</v>
      </c>
      <c r="E18" s="38">
        <f>D18*607.4+157.9</f>
        <v>145933.9</v>
      </c>
      <c r="F18" s="7">
        <v>1.17</v>
      </c>
      <c r="G18" s="7">
        <v>20</v>
      </c>
      <c r="H18" s="46"/>
      <c r="I18" s="49">
        <f>((C18*F18)/E18)/(G18*0.000001)</f>
        <v>20.043320982992988</v>
      </c>
    </row>
    <row r="19" spans="1:9">
      <c r="A19" s="45"/>
      <c r="B19" s="46"/>
      <c r="C19" s="46"/>
      <c r="D19" s="46"/>
      <c r="E19" s="46"/>
      <c r="F19" s="46"/>
      <c r="G19" s="46"/>
      <c r="H19" s="46"/>
      <c r="I19" s="51"/>
    </row>
    <row r="20" spans="1:9">
      <c r="A20" s="48">
        <v>1</v>
      </c>
      <c r="B20" s="8" t="s">
        <v>27</v>
      </c>
      <c r="C20" s="24"/>
      <c r="D20" s="7"/>
      <c r="E20" s="38">
        <f>D20*607.4+157.9</f>
        <v>157.9</v>
      </c>
      <c r="F20" s="7"/>
      <c r="G20" s="7"/>
      <c r="H20" s="46"/>
      <c r="I20" s="49" t="e">
        <f>((C20*F20)/E20)/(G20*0.000001)</f>
        <v>#DIV/0!</v>
      </c>
    </row>
    <row r="21" spans="1:9">
      <c r="A21" s="45"/>
      <c r="B21" s="46"/>
      <c r="C21" s="46"/>
      <c r="D21" s="46"/>
      <c r="E21" s="46"/>
      <c r="F21" s="46"/>
      <c r="G21" s="46"/>
      <c r="H21" s="46"/>
      <c r="I21" s="51"/>
    </row>
    <row r="22" spans="1:9">
      <c r="A22" s="48">
        <v>2</v>
      </c>
      <c r="B22" s="8" t="s">
        <v>27</v>
      </c>
      <c r="C22" s="24"/>
      <c r="D22" s="7"/>
      <c r="E22" s="38">
        <f>D22*607.4+157.9</f>
        <v>157.9</v>
      </c>
      <c r="F22" s="7"/>
      <c r="G22" s="7"/>
      <c r="H22" s="46"/>
      <c r="I22" s="49" t="e">
        <f>((C22*F22)/E22)/(G22*0.000001)</f>
        <v>#DIV/0!</v>
      </c>
    </row>
    <row r="23" spans="1:9">
      <c r="A23" s="45"/>
      <c r="B23" s="46"/>
      <c r="C23" s="46"/>
      <c r="D23" s="46"/>
      <c r="E23" s="46"/>
      <c r="F23" s="46"/>
      <c r="G23" s="46"/>
      <c r="H23" s="46"/>
      <c r="I23" s="51"/>
    </row>
    <row r="24" spans="1:9" ht="13.5" thickBot="1">
      <c r="A24" s="52">
        <v>3</v>
      </c>
      <c r="B24" s="35" t="s">
        <v>27</v>
      </c>
      <c r="C24" s="53"/>
      <c r="D24" s="54"/>
      <c r="E24" s="55">
        <f>D24*607.4+157.9</f>
        <v>157.9</v>
      </c>
      <c r="F24" s="54"/>
      <c r="G24" s="54"/>
      <c r="H24" s="56"/>
      <c r="I24" s="57" t="e">
        <f>((C24*F24)/E24)/(G24*0.000001)</f>
        <v>#DIV/0!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79"/>
  <sheetViews>
    <sheetView tabSelected="1" zoomScaleNormal="100" workbookViewId="0">
      <selection activeCell="O72" sqref="O72"/>
    </sheetView>
  </sheetViews>
  <sheetFormatPr defaultRowHeight="12.75"/>
  <cols>
    <col min="1" max="1" width="4.7109375" customWidth="1"/>
    <col min="2" max="2" width="12.140625" style="36" bestFit="1" customWidth="1"/>
    <col min="3" max="3" width="21" bestFit="1" customWidth="1"/>
    <col min="4" max="4" width="12.7109375" bestFit="1" customWidth="1"/>
    <col min="6" max="6" width="10.85546875" bestFit="1" customWidth="1"/>
    <col min="7" max="7" width="15.42578125" bestFit="1" customWidth="1"/>
    <col min="8" max="8" width="34.7109375" bestFit="1" customWidth="1"/>
    <col min="9" max="9" width="9.42578125" bestFit="1" customWidth="1"/>
    <col min="10" max="10" width="11.140625" customWidth="1"/>
    <col min="11" max="11" width="15.85546875" customWidth="1"/>
    <col min="12" max="12" width="38.140625" bestFit="1" customWidth="1"/>
  </cols>
  <sheetData>
    <row r="1" spans="1:14" ht="20.25">
      <c r="A1" s="34" t="s">
        <v>13</v>
      </c>
      <c r="B1" s="1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1"/>
      <c r="B2" s="1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14</v>
      </c>
      <c r="B3" s="1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2"/>
      <c r="B4" s="1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3.5" thickBot="1">
      <c r="A5" s="39" t="s">
        <v>15</v>
      </c>
      <c r="B5" s="40"/>
      <c r="C5" s="14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5" t="s">
        <v>3</v>
      </c>
      <c r="B6" s="27" t="s">
        <v>2</v>
      </c>
      <c r="C6" s="27" t="s">
        <v>32</v>
      </c>
      <c r="D6" s="27" t="s">
        <v>33</v>
      </c>
      <c r="E6" s="27" t="s">
        <v>9</v>
      </c>
      <c r="F6" s="28" t="s">
        <v>11</v>
      </c>
      <c r="G6" s="28" t="s">
        <v>31</v>
      </c>
      <c r="H6" s="27" t="s">
        <v>30</v>
      </c>
      <c r="I6" s="27" t="s">
        <v>7</v>
      </c>
      <c r="J6" s="70" t="s">
        <v>12</v>
      </c>
      <c r="K6" s="70"/>
      <c r="L6" s="58" t="s">
        <v>36</v>
      </c>
      <c r="M6" s="2"/>
      <c r="N6" s="2"/>
    </row>
    <row r="7" spans="1:14">
      <c r="A7" s="29"/>
      <c r="B7" s="8">
        <v>1</v>
      </c>
      <c r="C7" s="24">
        <v>50</v>
      </c>
      <c r="D7" s="24">
        <v>50</v>
      </c>
      <c r="E7" s="7">
        <v>850</v>
      </c>
      <c r="F7" s="9">
        <f>E7*607.4+157.9</f>
        <v>516447.9</v>
      </c>
      <c r="G7" s="9">
        <f>(C7*0.001)/F7*1000000000</f>
        <v>96.815186972393548</v>
      </c>
      <c r="H7" s="7">
        <v>40</v>
      </c>
      <c r="I7" s="10">
        <f>H7*(L12*0.000001)*F7</f>
        <v>413.15832</v>
      </c>
      <c r="J7" s="71">
        <f>B7</f>
        <v>1</v>
      </c>
      <c r="K7" s="71"/>
      <c r="L7" s="59">
        <f>IF((I7/C7)&lt;=D7,(I7/C7),"Not enough reagent; reduce target conc")</f>
        <v>8.2631663999999994</v>
      </c>
      <c r="M7" s="37"/>
      <c r="N7" s="2"/>
    </row>
    <row r="8" spans="1:14">
      <c r="A8" s="29"/>
      <c r="B8" s="8">
        <v>2</v>
      </c>
      <c r="C8" s="24">
        <v>50</v>
      </c>
      <c r="D8" s="24">
        <v>50</v>
      </c>
      <c r="E8" s="7">
        <v>240</v>
      </c>
      <c r="F8" s="9">
        <f>E8*607.4+157.9</f>
        <v>145933.9</v>
      </c>
      <c r="G8" s="9">
        <f>(C8*0.001)/F8*1000000000</f>
        <v>342.62087150415363</v>
      </c>
      <c r="H8" s="7">
        <v>40</v>
      </c>
      <c r="I8" s="10">
        <f>H8*(L12*0.000001)*F8</f>
        <v>116.74711999999998</v>
      </c>
      <c r="J8" s="71">
        <f>B8</f>
        <v>2</v>
      </c>
      <c r="K8" s="71"/>
      <c r="L8" s="59">
        <f>IF((I8/C8)&lt;=D8,(I8/C8),"Not enough reagent; reduce target conc")</f>
        <v>2.3349423999999996</v>
      </c>
      <c r="M8" s="37"/>
      <c r="N8" s="2"/>
    </row>
    <row r="9" spans="1:14">
      <c r="A9" s="29"/>
      <c r="B9" s="8"/>
      <c r="C9" s="6"/>
      <c r="D9" s="6"/>
      <c r="E9" s="12">
        <f>SUM(E7:E8)</f>
        <v>1090</v>
      </c>
      <c r="F9" s="15"/>
      <c r="G9" s="15"/>
      <c r="H9" s="6"/>
      <c r="I9" s="6"/>
      <c r="J9" s="62">
        <v>10</v>
      </c>
      <c r="K9" s="63" t="s">
        <v>37</v>
      </c>
      <c r="L9" s="49">
        <f>L12/J9</f>
        <v>2</v>
      </c>
      <c r="M9" s="37"/>
      <c r="N9" s="2"/>
    </row>
    <row r="10" spans="1:14" ht="15.75">
      <c r="A10" s="29"/>
      <c r="B10" s="8"/>
      <c r="C10" s="6"/>
      <c r="D10" s="6"/>
      <c r="E10" s="12"/>
      <c r="F10" s="15"/>
      <c r="G10" s="15"/>
      <c r="H10" s="6"/>
      <c r="I10" s="6"/>
      <c r="J10" s="64" t="s">
        <v>34</v>
      </c>
      <c r="K10" s="64"/>
      <c r="L10" s="49">
        <f>IF((L12-(L7+L8+L9+L11) &gt;= 0),L12-(L7+L8+L9+L11),"Target concs too high, given stock concs")</f>
        <v>6.4018912000000014</v>
      </c>
      <c r="M10" s="37"/>
      <c r="N10" s="2"/>
    </row>
    <row r="11" spans="1:14">
      <c r="A11" s="29"/>
      <c r="B11" s="8"/>
      <c r="C11" s="6"/>
      <c r="D11" s="6"/>
      <c r="E11" s="6"/>
      <c r="F11" s="15"/>
      <c r="G11" s="15"/>
      <c r="H11" s="6"/>
      <c r="I11" s="6"/>
      <c r="J11" s="65" t="s">
        <v>4</v>
      </c>
      <c r="K11" s="65"/>
      <c r="L11" s="60">
        <f>0.05*L12</f>
        <v>1</v>
      </c>
      <c r="M11" s="2"/>
      <c r="N11" s="2"/>
    </row>
    <row r="12" spans="1:14" ht="13.5" thickBot="1">
      <c r="A12" s="30"/>
      <c r="B12" s="35"/>
      <c r="C12" s="31"/>
      <c r="D12" s="31"/>
      <c r="E12" s="31"/>
      <c r="F12" s="31"/>
      <c r="G12" s="31"/>
      <c r="H12" s="32"/>
      <c r="I12" s="31"/>
      <c r="J12" s="68" t="s">
        <v>6</v>
      </c>
      <c r="K12" s="69"/>
      <c r="L12" s="33">
        <v>20</v>
      </c>
      <c r="M12" s="2"/>
      <c r="N12" s="2"/>
    </row>
    <row r="13" spans="1:14">
      <c r="A13" s="1"/>
      <c r="B13" s="1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3.5" thickBot="1">
      <c r="A14" s="1" t="s">
        <v>16</v>
      </c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5" t="s">
        <v>3</v>
      </c>
      <c r="B15" s="27" t="s">
        <v>2</v>
      </c>
      <c r="C15" s="27" t="s">
        <v>8</v>
      </c>
      <c r="D15" s="27" t="s">
        <v>33</v>
      </c>
      <c r="E15" s="27" t="s">
        <v>9</v>
      </c>
      <c r="F15" s="28" t="s">
        <v>11</v>
      </c>
      <c r="G15" s="28"/>
      <c r="H15" s="27" t="s">
        <v>30</v>
      </c>
      <c r="I15" s="27" t="s">
        <v>7</v>
      </c>
      <c r="J15" s="70" t="s">
        <v>12</v>
      </c>
      <c r="K15" s="70"/>
      <c r="L15" s="58" t="s">
        <v>36</v>
      </c>
      <c r="M15" s="2"/>
      <c r="N15" s="2"/>
    </row>
    <row r="16" spans="1:14">
      <c r="A16" s="29"/>
      <c r="B16" s="8">
        <v>1</v>
      </c>
      <c r="C16" s="24">
        <v>32</v>
      </c>
      <c r="D16" s="24">
        <v>50</v>
      </c>
      <c r="E16" s="7">
        <v>400</v>
      </c>
      <c r="F16" s="9">
        <f>E16*607.4+157.9</f>
        <v>243117.9</v>
      </c>
      <c r="G16" s="9"/>
      <c r="H16" s="7">
        <v>4</v>
      </c>
      <c r="I16" s="10">
        <f>H16*(L22*0.000001)*F16</f>
        <v>9.724715999999999</v>
      </c>
      <c r="J16" s="71">
        <f>B16</f>
        <v>1</v>
      </c>
      <c r="K16" s="71"/>
      <c r="L16" s="59">
        <f>IF((I16/C16)&lt;=D16,(I16/C16),"Not enough reagent; reduce target conc")</f>
        <v>0.30389737499999997</v>
      </c>
      <c r="M16" s="37"/>
    </row>
    <row r="17" spans="1:14">
      <c r="A17" s="29"/>
      <c r="B17" s="8">
        <v>2</v>
      </c>
      <c r="C17" s="24">
        <v>40</v>
      </c>
      <c r="D17" s="24">
        <v>50</v>
      </c>
      <c r="E17" s="7">
        <v>220</v>
      </c>
      <c r="F17" s="9">
        <f>E17*607.4+157.9</f>
        <v>133785.9</v>
      </c>
      <c r="G17" s="9"/>
      <c r="H17" s="7">
        <v>2</v>
      </c>
      <c r="I17" s="10">
        <f>H17*(L22*0.000001)*F17</f>
        <v>2.6757179999999998</v>
      </c>
      <c r="J17" s="71">
        <f>B17</f>
        <v>2</v>
      </c>
      <c r="K17" s="71"/>
      <c r="L17" s="59">
        <f>IF((I17/C17)&lt;=D17,(I17/C17),"Not enough reagent; reduce target conc")</f>
        <v>6.6892949999999993E-2</v>
      </c>
      <c r="M17" s="37"/>
    </row>
    <row r="18" spans="1:14">
      <c r="A18" s="29"/>
      <c r="B18" s="8">
        <v>3</v>
      </c>
      <c r="C18" s="24">
        <v>46</v>
      </c>
      <c r="D18" s="24">
        <v>50</v>
      </c>
      <c r="E18" s="7">
        <v>940</v>
      </c>
      <c r="F18" s="9">
        <f>E18*607.4+157.9</f>
        <v>571113.9</v>
      </c>
      <c r="G18" s="9"/>
      <c r="H18" s="7">
        <v>4</v>
      </c>
      <c r="I18" s="10">
        <f>H18*(L22*0.000001)*F18</f>
        <v>22.844555999999997</v>
      </c>
      <c r="J18" s="72">
        <f>B18</f>
        <v>3</v>
      </c>
      <c r="K18" s="72"/>
      <c r="L18" s="59">
        <f>IF((I18/C18)&lt;=D18,(I18/C18),"Not enough reagent; reduce target conc")</f>
        <v>0.49662078260869558</v>
      </c>
      <c r="M18" s="37"/>
    </row>
    <row r="19" spans="1:14">
      <c r="A19" s="29"/>
      <c r="B19" s="8"/>
      <c r="C19" s="6"/>
      <c r="D19" s="6"/>
      <c r="E19" s="12">
        <f>SUM(E16:E18)</f>
        <v>1560</v>
      </c>
      <c r="F19" s="15"/>
      <c r="G19" s="15"/>
      <c r="H19" s="6"/>
      <c r="I19" s="6"/>
      <c r="J19" s="62">
        <v>10</v>
      </c>
      <c r="K19" s="63" t="s">
        <v>37</v>
      </c>
      <c r="L19" s="61">
        <f>L22/J19</f>
        <v>1</v>
      </c>
      <c r="M19" s="37"/>
    </row>
    <row r="20" spans="1:14" ht="15.75">
      <c r="A20" s="29"/>
      <c r="B20" s="8"/>
      <c r="C20" s="6"/>
      <c r="D20" s="6"/>
      <c r="E20" s="12"/>
      <c r="F20" s="15"/>
      <c r="G20" s="15"/>
      <c r="H20" s="6"/>
      <c r="I20" s="6"/>
      <c r="J20" s="64" t="s">
        <v>34</v>
      </c>
      <c r="K20" s="64"/>
      <c r="L20" s="61">
        <f>IF((L22-(L16+L17+L18+L19+L21) &gt;= 0),L22-(L16+L17+L18+L19+L21),"Target concs too high, given stock concs")</f>
        <v>7.6325888923913041</v>
      </c>
      <c r="M20" s="37"/>
    </row>
    <row r="21" spans="1:14">
      <c r="A21" s="29"/>
      <c r="B21" s="8"/>
      <c r="C21" s="6"/>
      <c r="D21" s="6"/>
      <c r="E21" s="6"/>
      <c r="F21" s="15"/>
      <c r="G21" s="15"/>
      <c r="H21" s="6"/>
      <c r="I21" s="6"/>
      <c r="J21" s="65" t="s">
        <v>4</v>
      </c>
      <c r="K21" s="65"/>
      <c r="L21" s="60">
        <f>0.05*L22</f>
        <v>0.5</v>
      </c>
      <c r="M21" s="2"/>
    </row>
    <row r="22" spans="1:14" ht="13.5" thickBot="1">
      <c r="A22" s="30"/>
      <c r="B22" s="35"/>
      <c r="C22" s="31"/>
      <c r="D22" s="31"/>
      <c r="E22" s="31"/>
      <c r="F22" s="31"/>
      <c r="G22" s="31"/>
      <c r="H22" s="32"/>
      <c r="I22" s="31"/>
      <c r="J22" s="66" t="s">
        <v>6</v>
      </c>
      <c r="K22" s="67"/>
      <c r="L22" s="33">
        <v>10</v>
      </c>
      <c r="M22" s="2"/>
    </row>
    <row r="23" spans="1:14">
      <c r="N23" s="6"/>
    </row>
    <row r="24" spans="1:14" ht="13.5" thickBot="1">
      <c r="A24" s="1" t="s">
        <v>15</v>
      </c>
      <c r="B24" s="11"/>
      <c r="C24" s="2"/>
      <c r="D24" s="2"/>
      <c r="E24" s="2"/>
      <c r="F24" s="2"/>
      <c r="G24" s="2"/>
      <c r="H24" s="2"/>
      <c r="I24" s="2"/>
      <c r="J24" s="2"/>
      <c r="K24" s="2"/>
      <c r="L24" s="2"/>
      <c r="N24" s="6"/>
    </row>
    <row r="25" spans="1:14">
      <c r="A25" s="25" t="s">
        <v>17</v>
      </c>
      <c r="B25" s="27" t="s">
        <v>2</v>
      </c>
      <c r="C25" s="27" t="s">
        <v>8</v>
      </c>
      <c r="D25" s="27" t="s">
        <v>33</v>
      </c>
      <c r="E25" s="27" t="s">
        <v>9</v>
      </c>
      <c r="F25" s="28" t="s">
        <v>11</v>
      </c>
      <c r="G25" s="28"/>
      <c r="H25" s="27" t="s">
        <v>30</v>
      </c>
      <c r="I25" s="27" t="s">
        <v>7</v>
      </c>
      <c r="J25" s="70" t="s">
        <v>12</v>
      </c>
      <c r="K25" s="70"/>
      <c r="L25" s="58" t="s">
        <v>36</v>
      </c>
      <c r="N25" s="6"/>
    </row>
    <row r="26" spans="1:14">
      <c r="A26" s="29"/>
      <c r="B26" s="8">
        <v>1</v>
      </c>
      <c r="C26" s="24"/>
      <c r="D26" s="24"/>
      <c r="E26" s="7"/>
      <c r="F26" s="9">
        <f>E26*607.4+157.9</f>
        <v>157.9</v>
      </c>
      <c r="G26" s="9"/>
      <c r="H26" s="7"/>
      <c r="I26" s="10">
        <f>H26*(L31*0.000001)*F26</f>
        <v>0</v>
      </c>
      <c r="J26" s="71">
        <f>B26</f>
        <v>1</v>
      </c>
      <c r="K26" s="71"/>
      <c r="L26" s="59" t="e">
        <f>IF((I26/C26)&lt;=D26,(I26/C26),"Not enough reagent; reduce target conc")</f>
        <v>#DIV/0!</v>
      </c>
      <c r="N26" s="6"/>
    </row>
    <row r="27" spans="1:14">
      <c r="A27" s="29"/>
      <c r="B27" s="8">
        <v>2</v>
      </c>
      <c r="C27" s="24"/>
      <c r="D27" s="24"/>
      <c r="E27" s="7"/>
      <c r="F27" s="9">
        <f>E27*607.4+157.9</f>
        <v>157.9</v>
      </c>
      <c r="G27" s="9"/>
      <c r="H27" s="7"/>
      <c r="I27" s="10">
        <f>H27*(L31*0.000001)*F27</f>
        <v>0</v>
      </c>
      <c r="J27" s="71">
        <f>B27</f>
        <v>2</v>
      </c>
      <c r="K27" s="71"/>
      <c r="L27" s="59" t="e">
        <f>IF((I27/C27)&lt;=D27,(I27/C27),"Not enough reagent; reduce target conc")</f>
        <v>#DIV/0!</v>
      </c>
      <c r="N27" s="2"/>
    </row>
    <row r="28" spans="1:14">
      <c r="A28" s="29"/>
      <c r="B28" s="8"/>
      <c r="C28" s="6"/>
      <c r="D28" s="6"/>
      <c r="E28" s="12">
        <f>SUM(E26:E27)</f>
        <v>0</v>
      </c>
      <c r="F28" s="15"/>
      <c r="G28" s="15"/>
      <c r="H28" s="6"/>
      <c r="I28" s="6"/>
      <c r="J28" s="62">
        <v>10</v>
      </c>
      <c r="K28" s="63" t="s">
        <v>37</v>
      </c>
      <c r="L28" s="49">
        <f>L31/J28</f>
        <v>0</v>
      </c>
      <c r="N28" s="2"/>
    </row>
    <row r="29" spans="1:14" ht="15.75">
      <c r="A29" s="29"/>
      <c r="B29" s="8"/>
      <c r="C29" s="6"/>
      <c r="D29" s="6"/>
      <c r="E29" s="12"/>
      <c r="F29" s="15"/>
      <c r="G29" s="15"/>
      <c r="H29" s="6"/>
      <c r="I29" s="6"/>
      <c r="J29" s="64" t="s">
        <v>34</v>
      </c>
      <c r="K29" s="64"/>
      <c r="L29" s="49" t="e">
        <f>IF((L31-(L26+L27+L28+L30) &gt;= 0),L31-(L26+L27+L28+L30),"Target concs too high, given stock concs")</f>
        <v>#DIV/0!</v>
      </c>
      <c r="N29" s="2"/>
    </row>
    <row r="30" spans="1:14">
      <c r="A30" s="29"/>
      <c r="B30" s="8"/>
      <c r="C30" s="6"/>
      <c r="D30" s="6"/>
      <c r="E30" s="6"/>
      <c r="F30" s="15"/>
      <c r="G30" s="15"/>
      <c r="H30" s="6"/>
      <c r="I30" s="6"/>
      <c r="J30" s="65" t="s">
        <v>4</v>
      </c>
      <c r="K30" s="65"/>
      <c r="L30" s="60">
        <f>0.05*L31</f>
        <v>0</v>
      </c>
      <c r="N30" s="2"/>
    </row>
    <row r="31" spans="1:14" ht="13.5" thickBot="1">
      <c r="A31" s="30"/>
      <c r="B31" s="35"/>
      <c r="C31" s="31"/>
      <c r="D31" s="31"/>
      <c r="E31" s="31"/>
      <c r="F31" s="31"/>
      <c r="G31" s="31"/>
      <c r="H31" s="32"/>
      <c r="I31" s="31"/>
      <c r="J31" s="68" t="s">
        <v>6</v>
      </c>
      <c r="K31" s="69"/>
      <c r="L31" s="33"/>
      <c r="N31" s="2"/>
    </row>
    <row r="32" spans="1:14">
      <c r="A32" s="1"/>
      <c r="B32" s="11"/>
      <c r="C32" s="2"/>
      <c r="D32" s="2"/>
      <c r="E32" s="2"/>
      <c r="F32" s="2"/>
      <c r="G32" s="2"/>
      <c r="H32" s="2"/>
      <c r="I32" s="2"/>
      <c r="J32" s="2"/>
      <c r="K32" s="2"/>
      <c r="L32" s="2"/>
      <c r="N32" s="2"/>
    </row>
    <row r="33" spans="1:14" ht="13.5" thickBot="1">
      <c r="A33" s="1" t="s">
        <v>16</v>
      </c>
      <c r="B33" s="11"/>
      <c r="C33" s="2"/>
      <c r="D33" s="2"/>
      <c r="E33" s="2"/>
      <c r="F33" s="2"/>
      <c r="G33" s="2"/>
      <c r="H33" s="2"/>
      <c r="I33" s="2"/>
      <c r="J33" s="2"/>
      <c r="K33" s="2"/>
      <c r="L33" s="2"/>
      <c r="N33" s="2"/>
    </row>
    <row r="34" spans="1:14">
      <c r="A34" s="25" t="s">
        <v>18</v>
      </c>
      <c r="B34" s="27" t="s">
        <v>2</v>
      </c>
      <c r="C34" s="27" t="s">
        <v>8</v>
      </c>
      <c r="D34" s="27" t="s">
        <v>33</v>
      </c>
      <c r="E34" s="27" t="s">
        <v>9</v>
      </c>
      <c r="F34" s="28" t="s">
        <v>11</v>
      </c>
      <c r="G34" s="28"/>
      <c r="H34" s="27" t="s">
        <v>30</v>
      </c>
      <c r="I34" s="27" t="s">
        <v>7</v>
      </c>
      <c r="J34" s="70" t="s">
        <v>12</v>
      </c>
      <c r="K34" s="70"/>
      <c r="L34" s="58" t="s">
        <v>36</v>
      </c>
      <c r="N34" s="2"/>
    </row>
    <row r="35" spans="1:14">
      <c r="A35" s="29"/>
      <c r="B35" s="8">
        <v>1</v>
      </c>
      <c r="C35" s="24"/>
      <c r="D35" s="24"/>
      <c r="E35" s="7"/>
      <c r="F35" s="9">
        <f>E35*607.4+157.9</f>
        <v>157.9</v>
      </c>
      <c r="G35" s="9"/>
      <c r="H35" s="7"/>
      <c r="I35" s="10">
        <f>H35*(L41*0.000001)*F35</f>
        <v>0</v>
      </c>
      <c r="J35" s="71">
        <f>B35</f>
        <v>1</v>
      </c>
      <c r="K35" s="71"/>
      <c r="L35" s="59" t="e">
        <f>IF((I35/C35)&lt;=D35,(I35/C35),"Not enough reagent; reduce target conc")</f>
        <v>#DIV/0!</v>
      </c>
      <c r="N35" s="2"/>
    </row>
    <row r="36" spans="1:14">
      <c r="A36" s="29"/>
      <c r="B36" s="8">
        <v>2</v>
      </c>
      <c r="C36" s="24"/>
      <c r="D36" s="24"/>
      <c r="E36" s="7"/>
      <c r="F36" s="9">
        <f>E36*607.4+157.9</f>
        <v>157.9</v>
      </c>
      <c r="G36" s="9"/>
      <c r="H36" s="7"/>
      <c r="I36" s="10">
        <f>H36*(L41*0.000001)*F36</f>
        <v>0</v>
      </c>
      <c r="J36" s="71">
        <f>B36</f>
        <v>2</v>
      </c>
      <c r="K36" s="71"/>
      <c r="L36" s="59" t="e">
        <f>IF((I36/C36)&lt;=D36,(I36/C36),"Not enough reagent; reduce target conc")</f>
        <v>#DIV/0!</v>
      </c>
      <c r="N36" s="2"/>
    </row>
    <row r="37" spans="1:14">
      <c r="A37" s="29"/>
      <c r="B37" s="8">
        <v>3</v>
      </c>
      <c r="C37" s="24"/>
      <c r="D37" s="24"/>
      <c r="E37" s="7"/>
      <c r="F37" s="9">
        <f>E37*607.4+157.9</f>
        <v>157.9</v>
      </c>
      <c r="G37" s="9"/>
      <c r="H37" s="7"/>
      <c r="I37" s="10">
        <f>H37*(L41*0.000001)*F37</f>
        <v>0</v>
      </c>
      <c r="J37" s="72">
        <f>B37</f>
        <v>3</v>
      </c>
      <c r="K37" s="72"/>
      <c r="L37" s="59" t="e">
        <f>IF((I37/C37)&lt;=D37,(I37/C37),"Not enough reagent; reduce target conc")</f>
        <v>#DIV/0!</v>
      </c>
      <c r="N37" s="2"/>
    </row>
    <row r="38" spans="1:14">
      <c r="A38" s="29"/>
      <c r="B38" s="8"/>
      <c r="C38" s="6"/>
      <c r="D38" s="6"/>
      <c r="E38" s="12">
        <f>SUM(E35:E37)</f>
        <v>0</v>
      </c>
      <c r="F38" s="15"/>
      <c r="G38" s="15"/>
      <c r="H38" s="6"/>
      <c r="I38" s="6"/>
      <c r="J38" s="62">
        <v>10</v>
      </c>
      <c r="K38" s="63" t="s">
        <v>37</v>
      </c>
      <c r="L38" s="61">
        <f>L41/J38</f>
        <v>0</v>
      </c>
      <c r="N38" s="2"/>
    </row>
    <row r="39" spans="1:14" ht="15.75">
      <c r="A39" s="29"/>
      <c r="B39" s="8"/>
      <c r="C39" s="6"/>
      <c r="D39" s="6"/>
      <c r="E39" s="12"/>
      <c r="F39" s="15"/>
      <c r="G39" s="15"/>
      <c r="H39" s="6"/>
      <c r="I39" s="6"/>
      <c r="J39" s="64" t="s">
        <v>34</v>
      </c>
      <c r="K39" s="64"/>
      <c r="L39" s="61" t="e">
        <f>IF((L41-(L35+L36+L37+L38+L40) &gt;= 0),L41-(L35+L36+L37+L38+L40),"Target concs too high, given stock concs")</f>
        <v>#DIV/0!</v>
      </c>
      <c r="N39" s="2"/>
    </row>
    <row r="40" spans="1:14">
      <c r="A40" s="29"/>
      <c r="B40" s="8"/>
      <c r="C40" s="6"/>
      <c r="D40" s="6"/>
      <c r="E40" s="6"/>
      <c r="F40" s="15"/>
      <c r="G40" s="15"/>
      <c r="H40" s="6"/>
      <c r="I40" s="6"/>
      <c r="J40" s="65" t="s">
        <v>4</v>
      </c>
      <c r="K40" s="65"/>
      <c r="L40" s="60">
        <f>0.05*L41</f>
        <v>0</v>
      </c>
      <c r="N40" s="2"/>
    </row>
    <row r="41" spans="1:14" ht="13.5" thickBot="1">
      <c r="A41" s="30"/>
      <c r="B41" s="35"/>
      <c r="C41" s="31"/>
      <c r="D41" s="31"/>
      <c r="E41" s="31"/>
      <c r="F41" s="31"/>
      <c r="G41" s="31"/>
      <c r="H41" s="32"/>
      <c r="I41" s="31"/>
      <c r="J41" s="66" t="s">
        <v>6</v>
      </c>
      <c r="K41" s="67"/>
      <c r="L41" s="33"/>
      <c r="N41" s="2"/>
    </row>
    <row r="42" spans="1:14">
      <c r="N42" s="2"/>
    </row>
    <row r="43" spans="1:14" ht="13.5" thickBot="1">
      <c r="A43" s="1" t="s">
        <v>15</v>
      </c>
      <c r="B43" s="11"/>
      <c r="C43" s="2"/>
      <c r="D43" s="2"/>
      <c r="E43" s="2"/>
      <c r="F43" s="2"/>
      <c r="G43" s="2"/>
      <c r="H43" s="2"/>
      <c r="I43" s="2"/>
      <c r="J43" s="2"/>
      <c r="K43" s="2"/>
      <c r="L43" s="2"/>
      <c r="N43" s="2"/>
    </row>
    <row r="44" spans="1:14">
      <c r="A44" s="25" t="s">
        <v>19</v>
      </c>
      <c r="B44" s="27" t="s">
        <v>2</v>
      </c>
      <c r="C44" s="27" t="s">
        <v>8</v>
      </c>
      <c r="D44" s="27" t="s">
        <v>33</v>
      </c>
      <c r="E44" s="27" t="s">
        <v>9</v>
      </c>
      <c r="F44" s="28" t="s">
        <v>11</v>
      </c>
      <c r="G44" s="28"/>
      <c r="H44" s="27" t="s">
        <v>30</v>
      </c>
      <c r="I44" s="27" t="s">
        <v>7</v>
      </c>
      <c r="J44" s="70" t="s">
        <v>12</v>
      </c>
      <c r="K44" s="70"/>
      <c r="L44" s="58" t="s">
        <v>36</v>
      </c>
    </row>
    <row r="45" spans="1:14">
      <c r="A45" s="29"/>
      <c r="B45" s="8">
        <v>1</v>
      </c>
      <c r="C45" s="24"/>
      <c r="D45" s="24"/>
      <c r="E45" s="7"/>
      <c r="F45" s="9">
        <f>E45*607.4+157.9</f>
        <v>157.9</v>
      </c>
      <c r="G45" s="9"/>
      <c r="H45" s="7"/>
      <c r="I45" s="10">
        <f>H45*(L50*0.000001)*F45</f>
        <v>0</v>
      </c>
      <c r="J45" s="71">
        <f>B45</f>
        <v>1</v>
      </c>
      <c r="K45" s="71"/>
      <c r="L45" s="59" t="e">
        <f>IF((I45/C45)&lt;=D45,(I45/C45),"Not enough reagent; reduce target conc")</f>
        <v>#DIV/0!</v>
      </c>
    </row>
    <row r="46" spans="1:14">
      <c r="A46" s="29"/>
      <c r="B46" s="8">
        <v>2</v>
      </c>
      <c r="C46" s="24"/>
      <c r="D46" s="24"/>
      <c r="E46" s="7"/>
      <c r="F46" s="9">
        <f>E46*607.4+157.9</f>
        <v>157.9</v>
      </c>
      <c r="G46" s="9"/>
      <c r="H46" s="7"/>
      <c r="I46" s="10">
        <f>H46*(L50*0.000001)*F46</f>
        <v>0</v>
      </c>
      <c r="J46" s="71">
        <f>B46</f>
        <v>2</v>
      </c>
      <c r="K46" s="71"/>
      <c r="L46" s="59" t="e">
        <f>IF((I46/C46)&lt;=D46,(I46/C46),"Not enough reagent; reduce target conc")</f>
        <v>#DIV/0!</v>
      </c>
    </row>
    <row r="47" spans="1:14">
      <c r="A47" s="29"/>
      <c r="B47" s="8"/>
      <c r="C47" s="6"/>
      <c r="D47" s="6"/>
      <c r="E47" s="12">
        <f>SUM(E45:E46)</f>
        <v>0</v>
      </c>
      <c r="F47" s="15"/>
      <c r="G47" s="15"/>
      <c r="H47" s="6"/>
      <c r="I47" s="6"/>
      <c r="J47" s="62">
        <v>10</v>
      </c>
      <c r="K47" s="63" t="s">
        <v>37</v>
      </c>
      <c r="L47" s="49">
        <f>L50/J47</f>
        <v>0</v>
      </c>
    </row>
    <row r="48" spans="1:14" ht="15.75">
      <c r="A48" s="29"/>
      <c r="B48" s="8"/>
      <c r="C48" s="6"/>
      <c r="D48" s="6"/>
      <c r="E48" s="12"/>
      <c r="F48" s="15"/>
      <c r="G48" s="15"/>
      <c r="H48" s="6"/>
      <c r="I48" s="6"/>
      <c r="J48" s="64" t="s">
        <v>34</v>
      </c>
      <c r="K48" s="64"/>
      <c r="L48" s="49" t="e">
        <f>IF((L50-(L45+L46+L47+L49) &gt;= 0),L50-(L45+L46+L47+L49),"Target concs too high, given stock concs")</f>
        <v>#DIV/0!</v>
      </c>
    </row>
    <row r="49" spans="1:12">
      <c r="A49" s="29"/>
      <c r="B49" s="8"/>
      <c r="C49" s="6"/>
      <c r="D49" s="6"/>
      <c r="E49" s="6"/>
      <c r="F49" s="15"/>
      <c r="G49" s="15"/>
      <c r="H49" s="6"/>
      <c r="I49" s="6"/>
      <c r="J49" s="65" t="s">
        <v>4</v>
      </c>
      <c r="K49" s="65"/>
      <c r="L49" s="60">
        <f>0.05*L50</f>
        <v>0</v>
      </c>
    </row>
    <row r="50" spans="1:12" ht="13.5" thickBot="1">
      <c r="A50" s="30"/>
      <c r="B50" s="35"/>
      <c r="C50" s="31"/>
      <c r="D50" s="31"/>
      <c r="E50" s="31"/>
      <c r="F50" s="31"/>
      <c r="G50" s="31"/>
      <c r="H50" s="32"/>
      <c r="I50" s="31"/>
      <c r="J50" s="68" t="s">
        <v>6</v>
      </c>
      <c r="K50" s="69"/>
      <c r="L50" s="33"/>
    </row>
    <row r="51" spans="1:12">
      <c r="A51" s="1"/>
      <c r="B51" s="11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3.5" thickBot="1">
      <c r="A52" s="1" t="s">
        <v>16</v>
      </c>
      <c r="B52" s="11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5" t="s">
        <v>20</v>
      </c>
      <c r="B53" s="27" t="s">
        <v>2</v>
      </c>
      <c r="C53" s="27" t="s">
        <v>8</v>
      </c>
      <c r="D53" s="27" t="s">
        <v>33</v>
      </c>
      <c r="E53" s="27" t="s">
        <v>9</v>
      </c>
      <c r="F53" s="28" t="s">
        <v>11</v>
      </c>
      <c r="G53" s="28"/>
      <c r="H53" s="27" t="s">
        <v>30</v>
      </c>
      <c r="I53" s="27" t="s">
        <v>7</v>
      </c>
      <c r="J53" s="70" t="s">
        <v>12</v>
      </c>
      <c r="K53" s="70"/>
      <c r="L53" s="58" t="s">
        <v>36</v>
      </c>
    </row>
    <row r="54" spans="1:12">
      <c r="A54" s="29"/>
      <c r="B54" s="8">
        <v>1</v>
      </c>
      <c r="C54" s="24"/>
      <c r="D54" s="24"/>
      <c r="E54" s="7"/>
      <c r="F54" s="9">
        <f>E54*607.4+157.9</f>
        <v>157.9</v>
      </c>
      <c r="G54" s="9"/>
      <c r="H54" s="7"/>
      <c r="I54" s="10">
        <f>H54*(L60*0.000001)*F54</f>
        <v>0</v>
      </c>
      <c r="J54" s="71">
        <f>B54</f>
        <v>1</v>
      </c>
      <c r="K54" s="71"/>
      <c r="L54" s="59" t="e">
        <f>IF((I54/C54)&lt;=D54,(I54/C54),"Not enough reagent; reduce target conc")</f>
        <v>#DIV/0!</v>
      </c>
    </row>
    <row r="55" spans="1:12">
      <c r="A55" s="29"/>
      <c r="B55" s="8">
        <v>2</v>
      </c>
      <c r="C55" s="24"/>
      <c r="D55" s="24"/>
      <c r="E55" s="7"/>
      <c r="F55" s="9">
        <f>E55*607.4+157.9</f>
        <v>157.9</v>
      </c>
      <c r="G55" s="9"/>
      <c r="H55" s="7"/>
      <c r="I55" s="10">
        <f>H55*(L60*0.000001)*F55</f>
        <v>0</v>
      </c>
      <c r="J55" s="71">
        <f>B55</f>
        <v>2</v>
      </c>
      <c r="K55" s="71"/>
      <c r="L55" s="59" t="e">
        <f>IF((I55/C55)&lt;=D55,(I55/C55),"Not enough reagent; reduce target conc")</f>
        <v>#DIV/0!</v>
      </c>
    </row>
    <row r="56" spans="1:12">
      <c r="A56" s="29"/>
      <c r="B56" s="8">
        <v>3</v>
      </c>
      <c r="C56" s="24"/>
      <c r="D56" s="24"/>
      <c r="E56" s="7"/>
      <c r="F56" s="9">
        <f>E56*607.4+157.9</f>
        <v>157.9</v>
      </c>
      <c r="G56" s="9"/>
      <c r="H56" s="7"/>
      <c r="I56" s="10">
        <f>H56*(L60*0.000001)*F56</f>
        <v>0</v>
      </c>
      <c r="J56" s="72">
        <f>B56</f>
        <v>3</v>
      </c>
      <c r="K56" s="72"/>
      <c r="L56" s="59" t="e">
        <f>IF((I56/C56)&lt;=D56,(I56/C56),"Not enough reagent; reduce target conc")</f>
        <v>#DIV/0!</v>
      </c>
    </row>
    <row r="57" spans="1:12">
      <c r="A57" s="29"/>
      <c r="B57" s="8"/>
      <c r="C57" s="6"/>
      <c r="D57" s="6"/>
      <c r="E57" s="12">
        <f>SUM(E54:E56)</f>
        <v>0</v>
      </c>
      <c r="F57" s="15"/>
      <c r="G57" s="15"/>
      <c r="H57" s="6"/>
      <c r="I57" s="6"/>
      <c r="J57" s="62">
        <v>10</v>
      </c>
      <c r="K57" s="63" t="s">
        <v>37</v>
      </c>
      <c r="L57" s="61">
        <f>L60/J57</f>
        <v>0</v>
      </c>
    </row>
    <row r="58" spans="1:12" ht="15.75">
      <c r="A58" s="29"/>
      <c r="B58" s="8"/>
      <c r="C58" s="6"/>
      <c r="D58" s="6"/>
      <c r="E58" s="12"/>
      <c r="F58" s="15"/>
      <c r="G58" s="15"/>
      <c r="H58" s="6"/>
      <c r="I58" s="6"/>
      <c r="J58" s="64" t="s">
        <v>34</v>
      </c>
      <c r="K58" s="64"/>
      <c r="L58" s="61" t="e">
        <f>IF((L60-(L54+L55+L56+L57+L59) &gt;= 0),L60-(L54+L55+L56+L57+L59),"Target concs too high, given stock concs")</f>
        <v>#DIV/0!</v>
      </c>
    </row>
    <row r="59" spans="1:12">
      <c r="A59" s="29"/>
      <c r="B59" s="8"/>
      <c r="C59" s="6"/>
      <c r="D59" s="6"/>
      <c r="E59" s="6"/>
      <c r="F59" s="15"/>
      <c r="G59" s="15"/>
      <c r="H59" s="6"/>
      <c r="I59" s="6"/>
      <c r="J59" s="65" t="s">
        <v>4</v>
      </c>
      <c r="K59" s="65"/>
      <c r="L59" s="60">
        <f>0.05*L60</f>
        <v>0</v>
      </c>
    </row>
    <row r="60" spans="1:12" ht="13.5" thickBot="1">
      <c r="A60" s="30"/>
      <c r="B60" s="35"/>
      <c r="C60" s="31"/>
      <c r="D60" s="31"/>
      <c r="E60" s="31"/>
      <c r="F60" s="31"/>
      <c r="G60" s="31"/>
      <c r="H60" s="32"/>
      <c r="I60" s="31"/>
      <c r="J60" s="66" t="s">
        <v>6</v>
      </c>
      <c r="K60" s="67"/>
      <c r="L60" s="33"/>
    </row>
    <row r="62" spans="1:12" ht="13.5" thickBot="1">
      <c r="A62" s="1" t="s">
        <v>15</v>
      </c>
      <c r="B62" s="11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25" t="s">
        <v>21</v>
      </c>
      <c r="B63" s="27" t="s">
        <v>2</v>
      </c>
      <c r="C63" s="27" t="s">
        <v>8</v>
      </c>
      <c r="D63" s="27" t="s">
        <v>33</v>
      </c>
      <c r="E63" s="27" t="s">
        <v>9</v>
      </c>
      <c r="F63" s="28" t="s">
        <v>11</v>
      </c>
      <c r="G63" s="28"/>
      <c r="H63" s="27" t="s">
        <v>30</v>
      </c>
      <c r="I63" s="27" t="s">
        <v>7</v>
      </c>
      <c r="J63" s="70" t="s">
        <v>12</v>
      </c>
      <c r="K63" s="70"/>
      <c r="L63" s="58" t="s">
        <v>36</v>
      </c>
    </row>
    <row r="64" spans="1:12">
      <c r="A64" s="29"/>
      <c r="B64" s="8">
        <v>1</v>
      </c>
      <c r="C64" s="24"/>
      <c r="D64" s="24"/>
      <c r="E64" s="7"/>
      <c r="F64" s="9">
        <f>E64*607.4+157.9</f>
        <v>157.9</v>
      </c>
      <c r="G64" s="9"/>
      <c r="H64" s="7"/>
      <c r="I64" s="10">
        <f>H64*(L69*0.000001)*F64</f>
        <v>0</v>
      </c>
      <c r="J64" s="71">
        <f>B64</f>
        <v>1</v>
      </c>
      <c r="K64" s="71"/>
      <c r="L64" s="59" t="e">
        <f>IF((I64/C64)&lt;=D64,(I64/C64),"Not enough reagent; reduce target conc")</f>
        <v>#DIV/0!</v>
      </c>
    </row>
    <row r="65" spans="1:12">
      <c r="A65" s="29"/>
      <c r="B65" s="8">
        <v>2</v>
      </c>
      <c r="C65" s="24"/>
      <c r="D65" s="24"/>
      <c r="E65" s="7"/>
      <c r="F65" s="9">
        <f>E65*607.4+157.9</f>
        <v>157.9</v>
      </c>
      <c r="G65" s="9"/>
      <c r="H65" s="7"/>
      <c r="I65" s="10">
        <f>H65*(L69*0.000001)*F65</f>
        <v>0</v>
      </c>
      <c r="J65" s="71">
        <f>B65</f>
        <v>2</v>
      </c>
      <c r="K65" s="71"/>
      <c r="L65" s="59" t="e">
        <f>IF((I65/C65)&lt;=D65,(I65/C65),"Not enough reagent; reduce target conc")</f>
        <v>#DIV/0!</v>
      </c>
    </row>
    <row r="66" spans="1:12">
      <c r="A66" s="29"/>
      <c r="B66" s="8"/>
      <c r="C66" s="6"/>
      <c r="D66" s="6"/>
      <c r="E66" s="12">
        <f>SUM(E64:E65)</f>
        <v>0</v>
      </c>
      <c r="F66" s="15"/>
      <c r="G66" s="15"/>
      <c r="H66" s="6"/>
      <c r="I66" s="6"/>
      <c r="J66" s="62">
        <v>10</v>
      </c>
      <c r="K66" s="63" t="s">
        <v>37</v>
      </c>
      <c r="L66" s="49">
        <f>L69/J66</f>
        <v>0</v>
      </c>
    </row>
    <row r="67" spans="1:12" ht="15.75">
      <c r="A67" s="29"/>
      <c r="B67" s="8"/>
      <c r="C67" s="6"/>
      <c r="D67" s="6"/>
      <c r="E67" s="12"/>
      <c r="F67" s="15"/>
      <c r="G67" s="15"/>
      <c r="H67" s="6"/>
      <c r="I67" s="6"/>
      <c r="J67" s="64" t="s">
        <v>34</v>
      </c>
      <c r="K67" s="64"/>
      <c r="L67" s="49" t="e">
        <f>IF((L69-(L64+L65+L66+L68) &gt;= 0),L69-(L64+L65+L66+L68),"Target concs too high, given stock concs")</f>
        <v>#DIV/0!</v>
      </c>
    </row>
    <row r="68" spans="1:12">
      <c r="A68" s="29"/>
      <c r="B68" s="8"/>
      <c r="C68" s="6"/>
      <c r="D68" s="6"/>
      <c r="E68" s="6"/>
      <c r="F68" s="15"/>
      <c r="G68" s="15"/>
      <c r="H68" s="6"/>
      <c r="I68" s="6"/>
      <c r="J68" s="65" t="s">
        <v>4</v>
      </c>
      <c r="K68" s="65"/>
      <c r="L68" s="60">
        <f>0.05*L69</f>
        <v>0</v>
      </c>
    </row>
    <row r="69" spans="1:12" ht="13.5" thickBot="1">
      <c r="A69" s="30"/>
      <c r="B69" s="35"/>
      <c r="C69" s="31"/>
      <c r="D69" s="31"/>
      <c r="E69" s="31"/>
      <c r="F69" s="31"/>
      <c r="G69" s="31"/>
      <c r="H69" s="32"/>
      <c r="I69" s="31"/>
      <c r="J69" s="68" t="s">
        <v>6</v>
      </c>
      <c r="K69" s="69"/>
      <c r="L69" s="33"/>
    </row>
    <row r="70" spans="1:12">
      <c r="A70" s="1"/>
      <c r="B70" s="11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3.5" thickBot="1">
      <c r="A71" s="1" t="s">
        <v>16</v>
      </c>
      <c r="B71" s="11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25" t="s">
        <v>22</v>
      </c>
      <c r="B72" s="27" t="s">
        <v>2</v>
      </c>
      <c r="C72" s="27" t="s">
        <v>8</v>
      </c>
      <c r="D72" s="27" t="s">
        <v>33</v>
      </c>
      <c r="E72" s="27" t="s">
        <v>9</v>
      </c>
      <c r="F72" s="28" t="s">
        <v>11</v>
      </c>
      <c r="G72" s="28"/>
      <c r="H72" s="27" t="s">
        <v>30</v>
      </c>
      <c r="I72" s="27" t="s">
        <v>7</v>
      </c>
      <c r="J72" s="70" t="s">
        <v>12</v>
      </c>
      <c r="K72" s="70"/>
      <c r="L72" s="58" t="s">
        <v>36</v>
      </c>
    </row>
    <row r="73" spans="1:12">
      <c r="A73" s="29"/>
      <c r="B73" s="8">
        <v>1</v>
      </c>
      <c r="C73" s="24"/>
      <c r="D73" s="24"/>
      <c r="E73" s="7"/>
      <c r="F73" s="9">
        <f>E73*607.4+157.9</f>
        <v>157.9</v>
      </c>
      <c r="G73" s="9"/>
      <c r="H73" s="7"/>
      <c r="I73" s="10">
        <f>H73*(L79*0.000001)*F73</f>
        <v>0</v>
      </c>
      <c r="J73" s="71">
        <f>B73</f>
        <v>1</v>
      </c>
      <c r="K73" s="71"/>
      <c r="L73" s="59" t="e">
        <f>IF((I73/C73)&lt;=D73,(I73/C73),"Not enough reagent; reduce target conc")</f>
        <v>#DIV/0!</v>
      </c>
    </row>
    <row r="74" spans="1:12">
      <c r="A74" s="29"/>
      <c r="B74" s="8">
        <v>2</v>
      </c>
      <c r="C74" s="24"/>
      <c r="D74" s="24"/>
      <c r="E74" s="7"/>
      <c r="F74" s="9">
        <f>E74*607.4+157.9</f>
        <v>157.9</v>
      </c>
      <c r="G74" s="9"/>
      <c r="H74" s="7"/>
      <c r="I74" s="10">
        <f>H74*(L79*0.000001)*F74</f>
        <v>0</v>
      </c>
      <c r="J74" s="71">
        <f>B74</f>
        <v>2</v>
      </c>
      <c r="K74" s="71"/>
      <c r="L74" s="59" t="e">
        <f>IF((I74/C74)&lt;=D74,(I74/C74),"Not enough reagent; reduce target conc")</f>
        <v>#DIV/0!</v>
      </c>
    </row>
    <row r="75" spans="1:12">
      <c r="A75" s="29"/>
      <c r="B75" s="8">
        <v>3</v>
      </c>
      <c r="C75" s="24"/>
      <c r="D75" s="24"/>
      <c r="E75" s="7"/>
      <c r="F75" s="9">
        <f>E75*607.4+157.9</f>
        <v>157.9</v>
      </c>
      <c r="G75" s="9"/>
      <c r="H75" s="7"/>
      <c r="I75" s="10">
        <f>H75*(L79*0.000001)*F75</f>
        <v>0</v>
      </c>
      <c r="J75" s="72">
        <f>B75</f>
        <v>3</v>
      </c>
      <c r="K75" s="72"/>
      <c r="L75" s="59" t="e">
        <f>IF((I75/C75)&lt;=D75,(I75/C75),"Not enough reagent; reduce target conc")</f>
        <v>#DIV/0!</v>
      </c>
    </row>
    <row r="76" spans="1:12">
      <c r="A76" s="29"/>
      <c r="B76" s="8"/>
      <c r="C76" s="6"/>
      <c r="D76" s="6"/>
      <c r="E76" s="12">
        <f>SUM(E73:E75)</f>
        <v>0</v>
      </c>
      <c r="F76" s="15"/>
      <c r="G76" s="15"/>
      <c r="H76" s="6"/>
      <c r="I76" s="6"/>
      <c r="J76" s="62">
        <v>10</v>
      </c>
      <c r="K76" s="63" t="s">
        <v>37</v>
      </c>
      <c r="L76" s="61">
        <f>L79/J76</f>
        <v>0</v>
      </c>
    </row>
    <row r="77" spans="1:12" ht="15.75">
      <c r="A77" s="29"/>
      <c r="B77" s="8"/>
      <c r="C77" s="6"/>
      <c r="D77" s="6"/>
      <c r="E77" s="12"/>
      <c r="F77" s="15"/>
      <c r="G77" s="15"/>
      <c r="H77" s="6"/>
      <c r="I77" s="6"/>
      <c r="J77" s="64" t="s">
        <v>34</v>
      </c>
      <c r="K77" s="64"/>
      <c r="L77" s="61" t="e">
        <f>IF((L79-(L73+L74+L75+L76+L78) &gt;= 0),L79-(L73+L74+L75+L76+L78),"Target concs too high, given stock concs")</f>
        <v>#DIV/0!</v>
      </c>
    </row>
    <row r="78" spans="1:12">
      <c r="A78" s="29"/>
      <c r="B78" s="8"/>
      <c r="C78" s="6"/>
      <c r="D78" s="6"/>
      <c r="E78" s="6"/>
      <c r="F78" s="15"/>
      <c r="G78" s="15"/>
      <c r="H78" s="6"/>
      <c r="I78" s="6"/>
      <c r="J78" s="65" t="s">
        <v>4</v>
      </c>
      <c r="K78" s="65"/>
      <c r="L78" s="60">
        <f>0.05*L79</f>
        <v>0</v>
      </c>
    </row>
    <row r="79" spans="1:12" ht="13.5" thickBot="1">
      <c r="A79" s="30"/>
      <c r="B79" s="35"/>
      <c r="C79" s="31"/>
      <c r="D79" s="31"/>
      <c r="E79" s="31"/>
      <c r="F79" s="31"/>
      <c r="G79" s="31"/>
      <c r="H79" s="32"/>
      <c r="I79" s="31"/>
      <c r="J79" s="66" t="s">
        <v>6</v>
      </c>
      <c r="K79" s="67"/>
      <c r="L79" s="33"/>
    </row>
  </sheetData>
  <mergeCells count="52">
    <mergeCell ref="J15:K15"/>
    <mergeCell ref="J6:K6"/>
    <mergeCell ref="J7:K7"/>
    <mergeCell ref="J8:K8"/>
    <mergeCell ref="J10:K10"/>
    <mergeCell ref="J11:K11"/>
    <mergeCell ref="J12:K12"/>
    <mergeCell ref="J31:K31"/>
    <mergeCell ref="J16:K16"/>
    <mergeCell ref="J17:K17"/>
    <mergeCell ref="J18:K18"/>
    <mergeCell ref="J20:K20"/>
    <mergeCell ref="J21:K21"/>
    <mergeCell ref="J22:K22"/>
    <mergeCell ref="J25:K25"/>
    <mergeCell ref="J26:K26"/>
    <mergeCell ref="J27:K27"/>
    <mergeCell ref="J29:K29"/>
    <mergeCell ref="J30:K30"/>
    <mergeCell ref="J49:K49"/>
    <mergeCell ref="J34:K34"/>
    <mergeCell ref="J35:K35"/>
    <mergeCell ref="J36:K36"/>
    <mergeCell ref="J37:K37"/>
    <mergeCell ref="J39:K39"/>
    <mergeCell ref="J40:K40"/>
    <mergeCell ref="J41:K41"/>
    <mergeCell ref="J44:K44"/>
    <mergeCell ref="J45:K45"/>
    <mergeCell ref="J46:K46"/>
    <mergeCell ref="J48:K48"/>
    <mergeCell ref="J67:K67"/>
    <mergeCell ref="J50:K50"/>
    <mergeCell ref="J53:K53"/>
    <mergeCell ref="J54:K54"/>
    <mergeCell ref="J55:K55"/>
    <mergeCell ref="J56:K56"/>
    <mergeCell ref="J58:K58"/>
    <mergeCell ref="J59:K59"/>
    <mergeCell ref="J60:K60"/>
    <mergeCell ref="J63:K63"/>
    <mergeCell ref="J64:K64"/>
    <mergeCell ref="J65:K65"/>
    <mergeCell ref="J77:K77"/>
    <mergeCell ref="J78:K78"/>
    <mergeCell ref="J79:K79"/>
    <mergeCell ref="J68:K68"/>
    <mergeCell ref="J69:K69"/>
    <mergeCell ref="J72:K72"/>
    <mergeCell ref="J73:K73"/>
    <mergeCell ref="J74:K74"/>
    <mergeCell ref="J75:K75"/>
  </mergeCells>
  <pageMargins left="0.7" right="0.7" top="0.75" bottom="0.75" header="0.3" footer="0.3"/>
  <pageSetup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9"/>
  <sheetViews>
    <sheetView workbookViewId="0"/>
  </sheetViews>
  <sheetFormatPr defaultRowHeight="12.75"/>
  <cols>
    <col min="1" max="1" width="4.42578125" style="1" customWidth="1"/>
    <col min="2" max="2" width="12.140625" style="2" bestFit="1" customWidth="1"/>
    <col min="3" max="3" width="21" style="2" bestFit="1" customWidth="1"/>
    <col min="4" max="4" width="12.7109375" style="2" bestFit="1" customWidth="1"/>
    <col min="5" max="5" width="9" style="2" bestFit="1" customWidth="1"/>
    <col min="6" max="6" width="10.85546875" style="2" bestFit="1" customWidth="1"/>
    <col min="7" max="7" width="11.28515625" style="2" bestFit="1" customWidth="1"/>
    <col min="8" max="8" width="35.28515625" style="2" bestFit="1" customWidth="1"/>
    <col min="9" max="9" width="9.42578125" style="2" bestFit="1" customWidth="1"/>
    <col min="10" max="10" width="12.42578125" style="2" customWidth="1"/>
    <col min="11" max="11" width="16.140625" style="2" customWidth="1"/>
    <col min="12" max="12" width="51.5703125" style="2" bestFit="1" customWidth="1"/>
    <col min="13" max="13" width="93" style="2" bestFit="1" customWidth="1"/>
    <col min="14" max="14" width="8.28515625" style="2" bestFit="1" customWidth="1"/>
    <col min="15" max="15" width="5.42578125" style="2" bestFit="1" customWidth="1"/>
    <col min="16" max="16" width="9.140625" style="2" customWidth="1"/>
    <col min="17" max="16384" width="9.140625" style="2"/>
  </cols>
  <sheetData>
    <row r="1" spans="1:16" ht="20.25">
      <c r="A1" s="34" t="s">
        <v>5</v>
      </c>
    </row>
    <row r="3" spans="1:16">
      <c r="A3" s="2" t="s">
        <v>14</v>
      </c>
    </row>
    <row r="4" spans="1:16" ht="13.5" thickBot="1">
      <c r="N4" s="3"/>
      <c r="O4" s="3"/>
    </row>
    <row r="5" spans="1:16">
      <c r="A5" s="25" t="s">
        <v>3</v>
      </c>
      <c r="B5" s="26" t="s">
        <v>2</v>
      </c>
      <c r="C5" s="27" t="s">
        <v>8</v>
      </c>
      <c r="D5" s="27" t="s">
        <v>33</v>
      </c>
      <c r="E5" s="27" t="s">
        <v>9</v>
      </c>
      <c r="F5" s="27" t="s">
        <v>10</v>
      </c>
      <c r="G5" s="28" t="s">
        <v>11</v>
      </c>
      <c r="H5" s="27" t="s">
        <v>30</v>
      </c>
      <c r="I5" s="27" t="s">
        <v>7</v>
      </c>
      <c r="J5" s="70" t="s">
        <v>12</v>
      </c>
      <c r="K5" s="70"/>
      <c r="L5" s="58" t="s">
        <v>36</v>
      </c>
      <c r="N5" s="4"/>
      <c r="O5" s="4"/>
    </row>
    <row r="6" spans="1:16">
      <c r="A6" s="29"/>
      <c r="B6" s="6" t="s">
        <v>0</v>
      </c>
      <c r="C6" s="24">
        <v>9.5</v>
      </c>
      <c r="D6" s="24">
        <v>50</v>
      </c>
      <c r="E6" s="7">
        <v>900</v>
      </c>
      <c r="F6" s="8">
        <v>1</v>
      </c>
      <c r="G6" s="9">
        <f>E6*607.4+157.9</f>
        <v>546817.9</v>
      </c>
      <c r="H6" s="7">
        <v>2</v>
      </c>
      <c r="I6" s="10">
        <f>H6*(L11*0.000001)*G6</f>
        <v>5.4681790000000001</v>
      </c>
      <c r="J6" s="71" t="str">
        <f>B6</f>
        <v>Insert</v>
      </c>
      <c r="K6" s="71"/>
      <c r="L6" s="59">
        <f>IF((I6/C6)&lt;=D6,(I6/C6),"Not enough reagent; reduce target conc")</f>
        <v>0.57559778947368423</v>
      </c>
      <c r="M6" s="37"/>
      <c r="N6" s="8"/>
      <c r="O6" s="8"/>
    </row>
    <row r="7" spans="1:16">
      <c r="A7" s="29"/>
      <c r="B7" s="6" t="s">
        <v>1</v>
      </c>
      <c r="C7" s="24">
        <v>16.5</v>
      </c>
      <c r="D7" s="24">
        <v>50</v>
      </c>
      <c r="E7" s="7">
        <v>3500</v>
      </c>
      <c r="F7" s="7">
        <v>2</v>
      </c>
      <c r="G7" s="9">
        <f>E7*607.4+157.9</f>
        <v>2126057.9</v>
      </c>
      <c r="H7" s="8">
        <f>(H6/F6)*F7</f>
        <v>4</v>
      </c>
      <c r="I7" s="10">
        <f>H7*(L11*0.000001)*G7</f>
        <v>42.521157999999993</v>
      </c>
      <c r="J7" s="71" t="str">
        <f>B7</f>
        <v>Vector</v>
      </c>
      <c r="K7" s="71"/>
      <c r="L7" s="59">
        <f>IF((I7/C7)&lt;=D7,(I7/C7),"Not enough reagent; reduce target conc or molar ratio")</f>
        <v>2.5770398787878785</v>
      </c>
      <c r="M7" s="37"/>
      <c r="N7" s="8"/>
      <c r="O7" s="8"/>
    </row>
    <row r="8" spans="1:16">
      <c r="A8" s="29"/>
      <c r="B8" s="6"/>
      <c r="C8" s="6"/>
      <c r="D8" s="6"/>
      <c r="E8" s="12">
        <f>SUM(E6:E7)</f>
        <v>4400</v>
      </c>
      <c r="F8" s="6"/>
      <c r="G8" s="13"/>
      <c r="H8" s="6"/>
      <c r="I8" s="6"/>
      <c r="J8" s="62">
        <v>10</v>
      </c>
      <c r="K8" s="63" t="s">
        <v>37</v>
      </c>
      <c r="L8" s="49">
        <f>L11/J8</f>
        <v>0.5</v>
      </c>
      <c r="M8" s="37"/>
    </row>
    <row r="9" spans="1:16" ht="15.75">
      <c r="A9" s="29"/>
      <c r="B9" s="6"/>
      <c r="C9" s="6"/>
      <c r="D9" s="6"/>
      <c r="E9" s="6"/>
      <c r="F9" s="6"/>
      <c r="G9" s="15"/>
      <c r="H9" s="6"/>
      <c r="I9" s="6"/>
      <c r="J9" s="64" t="s">
        <v>34</v>
      </c>
      <c r="K9" s="64"/>
      <c r="L9" s="49">
        <f>IF((L11-(L6+L7+L8+L10))&gt;=0,(L11-(L6+L7+L8+L10)),"Target concs too high, given stock concs")</f>
        <v>1.0973623317384371</v>
      </c>
      <c r="M9" s="37"/>
    </row>
    <row r="10" spans="1:16">
      <c r="A10" s="29"/>
      <c r="B10" s="6"/>
      <c r="C10" s="6"/>
      <c r="D10" s="6"/>
      <c r="E10" s="6"/>
      <c r="F10" s="6"/>
      <c r="G10" s="15"/>
      <c r="H10" s="6"/>
      <c r="I10" s="6"/>
      <c r="J10" s="65" t="s">
        <v>4</v>
      </c>
      <c r="K10" s="65"/>
      <c r="L10" s="61">
        <f>0.05*L11</f>
        <v>0.25</v>
      </c>
    </row>
    <row r="11" spans="1:16" ht="13.5" thickBot="1">
      <c r="A11" s="30"/>
      <c r="B11" s="31"/>
      <c r="C11" s="31"/>
      <c r="D11" s="31"/>
      <c r="E11" s="31"/>
      <c r="F11" s="31"/>
      <c r="G11" s="32"/>
      <c r="H11" s="31"/>
      <c r="I11" s="31"/>
      <c r="J11" s="68" t="s">
        <v>6</v>
      </c>
      <c r="K11" s="69"/>
      <c r="L11" s="33">
        <v>5</v>
      </c>
    </row>
    <row r="12" spans="1:16" ht="13.5" thickBot="1">
      <c r="A12" s="5"/>
      <c r="G12" s="14"/>
    </row>
    <row r="13" spans="1:16">
      <c r="A13" s="25">
        <v>1</v>
      </c>
      <c r="B13" s="26" t="s">
        <v>2</v>
      </c>
      <c r="C13" s="27" t="s">
        <v>8</v>
      </c>
      <c r="D13" s="27" t="s">
        <v>33</v>
      </c>
      <c r="E13" s="27" t="s">
        <v>9</v>
      </c>
      <c r="F13" s="27" t="s">
        <v>10</v>
      </c>
      <c r="G13" s="28" t="s">
        <v>11</v>
      </c>
      <c r="H13" s="27" t="s">
        <v>30</v>
      </c>
      <c r="I13" s="27" t="s">
        <v>7</v>
      </c>
      <c r="J13" s="70" t="s">
        <v>12</v>
      </c>
      <c r="K13" s="70"/>
      <c r="L13" s="58" t="s">
        <v>36</v>
      </c>
    </row>
    <row r="14" spans="1:16">
      <c r="A14" s="29"/>
      <c r="B14" s="6" t="s">
        <v>0</v>
      </c>
      <c r="C14" s="24"/>
      <c r="D14" s="24"/>
      <c r="E14" s="7"/>
      <c r="F14" s="8">
        <v>1</v>
      </c>
      <c r="G14" s="9">
        <f>E14*607.4+157.9</f>
        <v>157.9</v>
      </c>
      <c r="H14" s="7"/>
      <c r="I14" s="10">
        <f>H14*(L19*0.000001)*G14</f>
        <v>0</v>
      </c>
      <c r="J14" s="71" t="str">
        <f>B14</f>
        <v>Insert</v>
      </c>
      <c r="K14" s="71"/>
      <c r="L14" s="59" t="e">
        <f>IF((I14/C14)&lt;=D14,(I14/C14),"Not enough reagent; reduce target conc")</f>
        <v>#DIV/0!</v>
      </c>
    </row>
    <row r="15" spans="1:16">
      <c r="A15" s="29"/>
      <c r="B15" s="6" t="s">
        <v>1</v>
      </c>
      <c r="C15" s="24"/>
      <c r="D15" s="24"/>
      <c r="E15" s="7"/>
      <c r="F15" s="7"/>
      <c r="G15" s="9">
        <f>E15*607.4+157.9</f>
        <v>157.9</v>
      </c>
      <c r="H15" s="8">
        <f>(H14/F14)*F15</f>
        <v>0</v>
      </c>
      <c r="I15" s="10">
        <f>H15*(L19*0.000001)*G15</f>
        <v>0</v>
      </c>
      <c r="J15" s="71" t="str">
        <f>B15</f>
        <v>Vector</v>
      </c>
      <c r="K15" s="71"/>
      <c r="L15" s="59" t="e">
        <f>IF((I15/C15)&lt;=D15,(I15/C15),"Not enough reagent; reduce target conc or molar ratio")</f>
        <v>#DIV/0!</v>
      </c>
    </row>
    <row r="16" spans="1:16">
      <c r="A16" s="29"/>
      <c r="B16" s="6"/>
      <c r="C16" s="6"/>
      <c r="D16" s="6"/>
      <c r="E16" s="12">
        <f>SUM(E14:E15)</f>
        <v>0</v>
      </c>
      <c r="F16" s="6"/>
      <c r="G16" s="13"/>
      <c r="H16" s="6"/>
      <c r="I16" s="6"/>
      <c r="J16" s="62">
        <v>10</v>
      </c>
      <c r="K16" s="63" t="s">
        <v>37</v>
      </c>
      <c r="L16" s="49">
        <f>L19/J16</f>
        <v>0</v>
      </c>
      <c r="M16" s="17"/>
      <c r="N16" s="16"/>
      <c r="O16" s="16"/>
      <c r="P16" s="14"/>
    </row>
    <row r="17" spans="1:16" ht="15.75">
      <c r="A17" s="29"/>
      <c r="B17" s="6"/>
      <c r="C17" s="6"/>
      <c r="D17" s="6"/>
      <c r="E17" s="6"/>
      <c r="F17" s="6"/>
      <c r="G17" s="15"/>
      <c r="H17" s="6"/>
      <c r="I17" s="6"/>
      <c r="J17" s="64" t="s">
        <v>34</v>
      </c>
      <c r="K17" s="64"/>
      <c r="L17" s="49" t="e">
        <f>IF((L19-(L14+L15+L16+L18))&gt;=0,(L19-(L14+L15+L16+L18)),"Target concs too high, given stock concs")</f>
        <v>#DIV/0!</v>
      </c>
      <c r="M17" s="17"/>
      <c r="N17" s="16"/>
      <c r="O17" s="16"/>
      <c r="P17" s="14"/>
    </row>
    <row r="18" spans="1:16">
      <c r="A18" s="29"/>
      <c r="B18" s="6"/>
      <c r="C18" s="6"/>
      <c r="D18" s="6"/>
      <c r="E18" s="6"/>
      <c r="F18" s="6"/>
      <c r="G18" s="15"/>
      <c r="H18" s="6"/>
      <c r="I18" s="6"/>
      <c r="J18" s="65" t="s">
        <v>4</v>
      </c>
      <c r="K18" s="65"/>
      <c r="L18" s="61">
        <f>0.05*L19</f>
        <v>0</v>
      </c>
      <c r="M18" s="17"/>
      <c r="N18" s="16"/>
      <c r="O18" s="18"/>
      <c r="P18" s="14"/>
    </row>
    <row r="19" spans="1:16" ht="13.5" thickBot="1">
      <c r="A19" s="30"/>
      <c r="B19" s="31"/>
      <c r="C19" s="31"/>
      <c r="D19" s="31"/>
      <c r="E19" s="31"/>
      <c r="F19" s="31"/>
      <c r="G19" s="32"/>
      <c r="H19" s="31"/>
      <c r="I19" s="31"/>
      <c r="J19" s="68" t="s">
        <v>6</v>
      </c>
      <c r="K19" s="69"/>
      <c r="L19" s="33"/>
      <c r="M19" s="14"/>
      <c r="N19" s="14"/>
      <c r="O19" s="14"/>
      <c r="P19" s="14"/>
    </row>
    <row r="20" spans="1:16" ht="13.5" thickBot="1">
      <c r="A20" s="23"/>
      <c r="B20" s="20"/>
      <c r="C20" s="18"/>
      <c r="D20" s="18"/>
      <c r="E20" s="18"/>
      <c r="F20" s="18"/>
      <c r="G20" s="21"/>
      <c r="H20" s="18"/>
      <c r="I20" s="18"/>
      <c r="J20" s="21"/>
      <c r="K20" s="15"/>
      <c r="L20" s="18"/>
      <c r="M20" s="22"/>
      <c r="N20" s="18"/>
      <c r="O20" s="18"/>
      <c r="P20" s="14"/>
    </row>
    <row r="21" spans="1:16">
      <c r="A21" s="25">
        <v>2</v>
      </c>
      <c r="B21" s="26" t="s">
        <v>2</v>
      </c>
      <c r="C21" s="27" t="s">
        <v>8</v>
      </c>
      <c r="D21" s="27" t="s">
        <v>33</v>
      </c>
      <c r="E21" s="27" t="s">
        <v>9</v>
      </c>
      <c r="F21" s="27" t="s">
        <v>10</v>
      </c>
      <c r="G21" s="28" t="s">
        <v>11</v>
      </c>
      <c r="H21" s="27" t="s">
        <v>30</v>
      </c>
      <c r="I21" s="27" t="s">
        <v>7</v>
      </c>
      <c r="J21" s="70" t="s">
        <v>12</v>
      </c>
      <c r="K21" s="70"/>
      <c r="L21" s="58" t="s">
        <v>36</v>
      </c>
      <c r="M21" s="17"/>
      <c r="N21" s="16"/>
      <c r="O21" s="16"/>
      <c r="P21" s="14"/>
    </row>
    <row r="22" spans="1:16">
      <c r="A22" s="29"/>
      <c r="B22" s="6" t="s">
        <v>0</v>
      </c>
      <c r="C22" s="24"/>
      <c r="D22" s="24"/>
      <c r="E22" s="7"/>
      <c r="F22" s="8">
        <v>1</v>
      </c>
      <c r="G22" s="9">
        <f>E22*607.4+157.9</f>
        <v>157.9</v>
      </c>
      <c r="H22" s="7"/>
      <c r="I22" s="10">
        <f>H22*(L27*0.000001)*G22</f>
        <v>0</v>
      </c>
      <c r="J22" s="71" t="str">
        <f>B22</f>
        <v>Insert</v>
      </c>
      <c r="K22" s="71"/>
      <c r="L22" s="59" t="e">
        <f>IF((I22/C22)&lt;=D22,(I22/C22),"Not enough reagent; reduce target conc")</f>
        <v>#DIV/0!</v>
      </c>
      <c r="M22" s="17"/>
      <c r="N22" s="16"/>
      <c r="O22" s="16"/>
      <c r="P22" s="14"/>
    </row>
    <row r="23" spans="1:16">
      <c r="A23" s="29"/>
      <c r="B23" s="6" t="s">
        <v>1</v>
      </c>
      <c r="C23" s="24"/>
      <c r="D23" s="24"/>
      <c r="E23" s="7"/>
      <c r="F23" s="7"/>
      <c r="G23" s="9">
        <f>E23*607.4+157.9</f>
        <v>157.9</v>
      </c>
      <c r="H23" s="8">
        <f>(H22/F22)*F23</f>
        <v>0</v>
      </c>
      <c r="I23" s="10">
        <f>H23*(L27*0.000001)*G23</f>
        <v>0</v>
      </c>
      <c r="J23" s="71" t="str">
        <f>B23</f>
        <v>Vector</v>
      </c>
      <c r="K23" s="71"/>
      <c r="L23" s="59" t="e">
        <f>IF((I23/C23)&lt;=D23,(I23/C23),"Not enough reagent; reduce target conc or molar ratio")</f>
        <v>#DIV/0!</v>
      </c>
      <c r="M23" s="17"/>
      <c r="N23" s="16"/>
      <c r="O23" s="18"/>
      <c r="P23" s="14"/>
    </row>
    <row r="24" spans="1:16">
      <c r="A24" s="29"/>
      <c r="B24" s="6"/>
      <c r="C24" s="6"/>
      <c r="D24" s="6"/>
      <c r="E24" s="12">
        <f>SUM(E22:E23)</f>
        <v>0</v>
      </c>
      <c r="F24" s="6"/>
      <c r="G24" s="13"/>
      <c r="H24" s="6"/>
      <c r="I24" s="6"/>
      <c r="J24" s="62">
        <v>10</v>
      </c>
      <c r="K24" s="63" t="s">
        <v>37</v>
      </c>
      <c r="L24" s="49">
        <f>L27/J24</f>
        <v>0</v>
      </c>
      <c r="M24" s="14"/>
      <c r="N24" s="14"/>
      <c r="O24" s="14"/>
      <c r="P24" s="14"/>
    </row>
    <row r="25" spans="1:16" ht="15.75">
      <c r="A25" s="29"/>
      <c r="B25" s="6"/>
      <c r="C25" s="6"/>
      <c r="D25" s="6"/>
      <c r="E25" s="6"/>
      <c r="F25" s="6"/>
      <c r="G25" s="15"/>
      <c r="H25" s="6"/>
      <c r="I25" s="6"/>
      <c r="J25" s="64" t="s">
        <v>34</v>
      </c>
      <c r="K25" s="64"/>
      <c r="L25" s="49" t="e">
        <f>IF((L27-(L22+L23+L24+L26))&gt;=0,(L27-(L22+L23+L24+L26)),"Target concs too high, given stock concs")</f>
        <v>#DIV/0!</v>
      </c>
      <c r="M25" s="22"/>
      <c r="N25" s="18"/>
      <c r="O25" s="18"/>
      <c r="P25" s="14"/>
    </row>
    <row r="26" spans="1:16">
      <c r="A26" s="29"/>
      <c r="B26" s="6"/>
      <c r="C26" s="6"/>
      <c r="D26" s="6"/>
      <c r="E26" s="6"/>
      <c r="F26" s="6"/>
      <c r="G26" s="15"/>
      <c r="H26" s="6"/>
      <c r="I26" s="6"/>
      <c r="J26" s="65" t="s">
        <v>4</v>
      </c>
      <c r="K26" s="65"/>
      <c r="L26" s="61">
        <f>0.05*L27</f>
        <v>0</v>
      </c>
      <c r="M26" s="17"/>
      <c r="N26" s="16"/>
      <c r="O26" s="16"/>
      <c r="P26" s="14"/>
    </row>
    <row r="27" spans="1:16" ht="13.5" thickBot="1">
      <c r="A27" s="30"/>
      <c r="B27" s="31"/>
      <c r="C27" s="31"/>
      <c r="D27" s="31"/>
      <c r="E27" s="31"/>
      <c r="F27" s="31"/>
      <c r="G27" s="32"/>
      <c r="H27" s="31"/>
      <c r="I27" s="31"/>
      <c r="J27" s="68" t="s">
        <v>6</v>
      </c>
      <c r="K27" s="69"/>
      <c r="L27" s="33"/>
      <c r="M27" s="17"/>
      <c r="N27" s="16"/>
      <c r="O27" s="16"/>
      <c r="P27" s="14"/>
    </row>
    <row r="28" spans="1:16" ht="13.5" thickBot="1">
      <c r="A28" s="23"/>
      <c r="B28" s="15"/>
      <c r="C28" s="15"/>
      <c r="D28" s="15"/>
      <c r="E28" s="19"/>
      <c r="F28" s="15"/>
      <c r="G28" s="13"/>
      <c r="H28" s="15"/>
      <c r="I28" s="15"/>
      <c r="J28" s="13"/>
      <c r="K28" s="15"/>
      <c r="L28" s="16"/>
      <c r="M28" s="17"/>
      <c r="N28" s="16"/>
      <c r="O28" s="18"/>
      <c r="P28" s="14"/>
    </row>
    <row r="29" spans="1:16">
      <c r="A29" s="25">
        <v>3</v>
      </c>
      <c r="B29" s="26" t="s">
        <v>2</v>
      </c>
      <c r="C29" s="27" t="s">
        <v>8</v>
      </c>
      <c r="D29" s="27" t="s">
        <v>33</v>
      </c>
      <c r="E29" s="27" t="s">
        <v>9</v>
      </c>
      <c r="F29" s="27" t="s">
        <v>10</v>
      </c>
      <c r="G29" s="28" t="s">
        <v>11</v>
      </c>
      <c r="H29" s="27" t="s">
        <v>30</v>
      </c>
      <c r="I29" s="27" t="s">
        <v>7</v>
      </c>
      <c r="J29" s="70" t="s">
        <v>12</v>
      </c>
      <c r="K29" s="70"/>
      <c r="L29" s="58" t="s">
        <v>36</v>
      </c>
      <c r="M29" s="14"/>
      <c r="N29" s="14"/>
      <c r="O29" s="14"/>
      <c r="P29" s="14"/>
    </row>
    <row r="30" spans="1:16">
      <c r="A30" s="29"/>
      <c r="B30" s="6" t="s">
        <v>0</v>
      </c>
      <c r="C30" s="24"/>
      <c r="D30" s="24"/>
      <c r="E30" s="7"/>
      <c r="F30" s="8">
        <v>1</v>
      </c>
      <c r="G30" s="9">
        <f>E30*607.4+157.9</f>
        <v>157.9</v>
      </c>
      <c r="H30" s="7"/>
      <c r="I30" s="10">
        <f>H30*(L35*0.000001)*G30</f>
        <v>0</v>
      </c>
      <c r="J30" s="71" t="str">
        <f>B30</f>
        <v>Insert</v>
      </c>
      <c r="K30" s="71"/>
      <c r="L30" s="59" t="e">
        <f>IF((I30/C30)&lt;=D30,(I30/C30),"Not enough reagent; reduce target conc")</f>
        <v>#DIV/0!</v>
      </c>
      <c r="M30" s="22"/>
      <c r="N30" s="18"/>
      <c r="O30" s="18"/>
      <c r="P30" s="14"/>
    </row>
    <row r="31" spans="1:16">
      <c r="A31" s="29"/>
      <c r="B31" s="6" t="s">
        <v>1</v>
      </c>
      <c r="C31" s="24"/>
      <c r="D31" s="24"/>
      <c r="E31" s="7"/>
      <c r="F31" s="7"/>
      <c r="G31" s="9">
        <f>E31*607.4+157.9</f>
        <v>157.9</v>
      </c>
      <c r="H31" s="8">
        <f>(H30/F30)*F31</f>
        <v>0</v>
      </c>
      <c r="I31" s="10">
        <f>H31*(L35*0.000001)*G31</f>
        <v>0</v>
      </c>
      <c r="J31" s="71" t="str">
        <f>B31</f>
        <v>Vector</v>
      </c>
      <c r="K31" s="71"/>
      <c r="L31" s="59" t="e">
        <f>IF((I31/C31)&lt;=D31,(I31/C31),"Not enough reagent; reduce target conc or molar ratio")</f>
        <v>#DIV/0!</v>
      </c>
      <c r="M31" s="17"/>
      <c r="N31" s="16"/>
      <c r="O31" s="16"/>
      <c r="P31" s="14"/>
    </row>
    <row r="32" spans="1:16">
      <c r="A32" s="29"/>
      <c r="B32" s="6"/>
      <c r="C32" s="6"/>
      <c r="D32" s="6"/>
      <c r="E32" s="12">
        <f>SUM(E30:E31)</f>
        <v>0</v>
      </c>
      <c r="F32" s="6"/>
      <c r="G32" s="13"/>
      <c r="H32" s="6"/>
      <c r="I32" s="6"/>
      <c r="J32" s="62">
        <v>10</v>
      </c>
      <c r="K32" s="63" t="s">
        <v>37</v>
      </c>
      <c r="L32" s="49">
        <f>L35/J32</f>
        <v>0</v>
      </c>
      <c r="M32" s="17"/>
      <c r="N32" s="16"/>
      <c r="O32" s="16"/>
      <c r="P32" s="14"/>
    </row>
    <row r="33" spans="1:16" ht="15.75">
      <c r="A33" s="29"/>
      <c r="B33" s="6"/>
      <c r="C33" s="6"/>
      <c r="D33" s="6"/>
      <c r="E33" s="6"/>
      <c r="F33" s="6"/>
      <c r="G33" s="15"/>
      <c r="H33" s="6"/>
      <c r="I33" s="6"/>
      <c r="J33" s="64" t="s">
        <v>34</v>
      </c>
      <c r="K33" s="64"/>
      <c r="L33" s="49" t="e">
        <f>IF((L35-(L30+L31+L32+L34))&gt;=0,(L35-(L30+L31+L32+L34)),"Target concs too high, given stock concs")</f>
        <v>#DIV/0!</v>
      </c>
      <c r="M33" s="17"/>
      <c r="N33" s="16"/>
      <c r="O33" s="18"/>
      <c r="P33" s="14"/>
    </row>
    <row r="34" spans="1:16">
      <c r="A34" s="29"/>
      <c r="B34" s="6"/>
      <c r="C34" s="6"/>
      <c r="D34" s="6"/>
      <c r="E34" s="6"/>
      <c r="F34" s="6"/>
      <c r="G34" s="15"/>
      <c r="H34" s="6"/>
      <c r="I34" s="6"/>
      <c r="J34" s="65" t="s">
        <v>4</v>
      </c>
      <c r="K34" s="65"/>
      <c r="L34" s="61">
        <f>0.05*L35</f>
        <v>0</v>
      </c>
      <c r="M34" s="14"/>
      <c r="N34" s="14"/>
      <c r="O34" s="14"/>
      <c r="P34" s="14"/>
    </row>
    <row r="35" spans="1:16" ht="13.5" thickBot="1">
      <c r="A35" s="30"/>
      <c r="B35" s="31"/>
      <c r="C35" s="31"/>
      <c r="D35" s="31"/>
      <c r="E35" s="31"/>
      <c r="F35" s="31"/>
      <c r="G35" s="32"/>
      <c r="H35" s="31"/>
      <c r="I35" s="31"/>
      <c r="J35" s="68" t="s">
        <v>6</v>
      </c>
      <c r="K35" s="69"/>
      <c r="L35" s="33"/>
      <c r="M35" s="14"/>
      <c r="N35" s="14"/>
      <c r="O35" s="14"/>
      <c r="P35" s="14"/>
    </row>
    <row r="36" spans="1:16">
      <c r="A36" s="2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>
      <c r="A37" s="2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>
      <c r="A38" s="5"/>
    </row>
    <row r="39" spans="1:16">
      <c r="A39" s="5"/>
    </row>
  </sheetData>
  <mergeCells count="24">
    <mergeCell ref="J19:K19"/>
    <mergeCell ref="J7:K7"/>
    <mergeCell ref="J6:K6"/>
    <mergeCell ref="J5:K5"/>
    <mergeCell ref="J9:K9"/>
    <mergeCell ref="J10:K10"/>
    <mergeCell ref="J11:K11"/>
    <mergeCell ref="J13:K13"/>
    <mergeCell ref="J14:K14"/>
    <mergeCell ref="J15:K15"/>
    <mergeCell ref="J17:K17"/>
    <mergeCell ref="J18:K18"/>
    <mergeCell ref="J35:K35"/>
    <mergeCell ref="J21:K21"/>
    <mergeCell ref="J22:K22"/>
    <mergeCell ref="J23:K23"/>
    <mergeCell ref="J25:K25"/>
    <mergeCell ref="J26:K26"/>
    <mergeCell ref="J27:K27"/>
    <mergeCell ref="J29:K29"/>
    <mergeCell ref="J30:K30"/>
    <mergeCell ref="J31:K31"/>
    <mergeCell ref="J33:K33"/>
    <mergeCell ref="J34:K34"/>
  </mergeCells>
  <pageMargins left="0.7" right="0.7" top="0.75" bottom="0.75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Concentration converter</vt:lpstr>
      <vt:lpstr>Linear ligation</vt:lpstr>
      <vt:lpstr>Circular ligation</vt:lpstr>
      <vt:lpstr>'Circular ligation'!Print_Area</vt:lpstr>
      <vt:lpstr>'Concentration converter'!Print_Area</vt:lpstr>
      <vt:lpstr>'Linear ligation'!Print_Area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Casim A. Sarkar</dc:creator>
  <cp:lastModifiedBy>Daphne Ng</cp:lastModifiedBy>
  <cp:lastPrinted>2013-09-17T02:28:19Z</cp:lastPrinted>
  <dcterms:created xsi:type="dcterms:W3CDTF">2005-08-10T09:05:32Z</dcterms:created>
  <dcterms:modified xsi:type="dcterms:W3CDTF">2013-09-20T01:20:36Z</dcterms:modified>
</cp:coreProperties>
</file>